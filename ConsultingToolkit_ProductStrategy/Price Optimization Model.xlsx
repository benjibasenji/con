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drawings/drawing5.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6.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7.xml" ContentType="application/vnd.openxmlformats-officedocument.drawing+xml"/>
  <Override PartName="/xl/charts/chart10.xml" ContentType="application/vnd.openxmlformats-officedocument.drawingml.chart+xml"/>
  <Override PartName="/xl/drawings/drawing8.xml" ContentType="application/vnd.openxmlformats-officedocument.drawing+xml"/>
  <Override PartName="/xl/charts/chart1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mc:AlternateContent xmlns:mc="http://schemas.openxmlformats.org/markup-compatibility/2006">
    <mc:Choice Requires="x15">
      <x15ac:absPath xmlns:x15ac="http://schemas.microsoft.com/office/spreadsheetml/2010/11/ac" url="https://api.box.com/wopi/files/1527226655510/WOPIServiceId_TP_BOX_2/WOPIUserId_-/"/>
    </mc:Choice>
  </mc:AlternateContent>
  <xr:revisionPtr revIDLastSave="2" documentId="13_ncr:1_{B0807FF2-3460-DE46-8821-8E7550CBCA32}" xr6:coauthVersionLast="47" xr6:coauthVersionMax="47" xr10:uidLastSave="{AEF81F3D-DADC-4C3F-AEEE-21AB63BDF040}"/>
  <bookViews>
    <workbookView xWindow="-108" yWindow="-108" windowWidth="23256" windowHeight="13896" xr2:uid="{83577037-B200-1643-A343-169DF442F636}"/>
  </bookViews>
  <sheets>
    <sheet name="0. Document Details" sheetId="12" r:id="rId1"/>
    <sheet name="1. LOBF Estimator" sheetId="11" r:id="rId2"/>
    <sheet name="2a. Linear LOBF" sheetId="8" r:id="rId3"/>
    <sheet name="2b. Exponential LOBF" sheetId="3" r:id="rId4"/>
    <sheet name="2c. Power LOBF" sheetId="2" r:id="rId5"/>
    <sheet name="2d. Logarithmic LOBF" sheetId="9" r:id="rId6"/>
    <sheet name="3. Cost Calculation" sheetId="13" r:id="rId7"/>
    <sheet name="4. Breakeven Analysis" sheetId="14" r:id="rId8"/>
    <sheet name="5. Gross Margin Analysis" sheetId="15" r:id="rId9"/>
  </sheet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E5" i="11" l="1"/>
  <c r="F5" i="11" s="1"/>
  <c r="F3" i="2" s="1"/>
  <c r="E30" i="13"/>
  <c r="I9" i="15"/>
  <c r="H9" i="15"/>
  <c r="G9" i="15"/>
  <c r="F9" i="15"/>
  <c r="E9" i="15"/>
  <c r="D9" i="15"/>
  <c r="C9" i="15"/>
  <c r="H19" i="14"/>
  <c r="H18" i="14"/>
  <c r="H12" i="14"/>
  <c r="H7" i="14"/>
  <c r="I19" i="14"/>
  <c r="G19" i="14"/>
  <c r="F19" i="14"/>
  <c r="E19" i="14"/>
  <c r="D19" i="14"/>
  <c r="C19" i="14"/>
  <c r="I18" i="14"/>
  <c r="G18" i="14"/>
  <c r="F18" i="14"/>
  <c r="E18" i="14"/>
  <c r="D18" i="14"/>
  <c r="C18" i="14"/>
  <c r="I12" i="14"/>
  <c r="G12" i="14"/>
  <c r="F12" i="14"/>
  <c r="E12" i="14"/>
  <c r="D12" i="14"/>
  <c r="C12" i="14"/>
  <c r="I7" i="14"/>
  <c r="G7" i="14"/>
  <c r="F7" i="14"/>
  <c r="E7" i="14"/>
  <c r="D7" i="14"/>
  <c r="C7" i="14"/>
  <c r="E15" i="13"/>
  <c r="D3" i="9"/>
  <c r="D3" i="2"/>
  <c r="D3" i="3"/>
  <c r="C17" i="14" s="1"/>
  <c r="C6" i="15" s="1"/>
  <c r="D3" i="8"/>
  <c r="D11" i="11"/>
  <c r="D15" i="11" s="1"/>
  <c r="D19" i="11" s="1"/>
  <c r="D23" i="11" s="1"/>
  <c r="E4" i="11"/>
  <c r="F4" i="11" s="1"/>
  <c r="E3" i="2" l="1"/>
  <c r="E3" i="8"/>
  <c r="E3" i="3"/>
  <c r="D17" i="14" s="1"/>
  <c r="D6" i="15" s="1"/>
  <c r="E11" i="11"/>
  <c r="E15" i="11" s="1"/>
  <c r="E19" i="11" s="1"/>
  <c r="E23" i="11" s="1"/>
  <c r="E3" i="9"/>
  <c r="F3" i="3"/>
  <c r="E17" i="14" s="1"/>
  <c r="E6" i="15" s="1"/>
  <c r="F3" i="8"/>
  <c r="F3" i="9"/>
  <c r="G5" i="11"/>
  <c r="C21" i="14"/>
  <c r="D21" i="14"/>
  <c r="C20" i="14"/>
  <c r="D20" i="14"/>
  <c r="G4" i="11"/>
  <c r="F11" i="11"/>
  <c r="F15" i="11" s="1"/>
  <c r="F19" i="11" s="1"/>
  <c r="F23" i="11" s="1"/>
  <c r="E20" i="14" l="1"/>
  <c r="E21" i="14"/>
  <c r="G3" i="9"/>
  <c r="H5" i="11"/>
  <c r="H24" i="11" s="1"/>
  <c r="G3" i="3"/>
  <c r="F17" i="14" s="1"/>
  <c r="G3" i="8"/>
  <c r="G3" i="2"/>
  <c r="H4" i="11"/>
  <c r="G11" i="11"/>
  <c r="G15" i="11" s="1"/>
  <c r="G19" i="11" s="1"/>
  <c r="G23" i="11" s="1"/>
  <c r="C7" i="12"/>
  <c r="L15" i="11"/>
  <c r="L19" i="11" s="1"/>
  <c r="L23" i="11" s="1"/>
  <c r="H20" i="11"/>
  <c r="G20" i="11"/>
  <c r="F20" i="11"/>
  <c r="E20" i="11"/>
  <c r="G16" i="11"/>
  <c r="F16" i="11"/>
  <c r="E16" i="11"/>
  <c r="G24" i="11"/>
  <c r="F24" i="11"/>
  <c r="E24" i="11"/>
  <c r="D24" i="11"/>
  <c r="D20" i="11"/>
  <c r="D16" i="11"/>
  <c r="G12" i="11"/>
  <c r="F12" i="11"/>
  <c r="E12" i="11"/>
  <c r="D12" i="11"/>
  <c r="H16" i="11" l="1"/>
  <c r="H12" i="11"/>
  <c r="H3" i="8"/>
  <c r="H3" i="3"/>
  <c r="G17" i="14" s="1"/>
  <c r="I5" i="11"/>
  <c r="H3" i="2"/>
  <c r="H3" i="9"/>
  <c r="F6" i="15"/>
  <c r="F20" i="14"/>
  <c r="F21" i="14"/>
  <c r="I4" i="11"/>
  <c r="H11" i="11"/>
  <c r="H15" i="11" s="1"/>
  <c r="H19" i="11" s="1"/>
  <c r="H23" i="11" s="1"/>
  <c r="J5" i="11" l="1"/>
  <c r="I3" i="8"/>
  <c r="I3" i="9"/>
  <c r="I3" i="3"/>
  <c r="H17" i="14" s="1"/>
  <c r="I3" i="2"/>
  <c r="L13" i="11" a="1"/>
  <c r="I16" i="11"/>
  <c r="I20" i="11"/>
  <c r="I24" i="11"/>
  <c r="I12" i="11"/>
  <c r="G6" i="15"/>
  <c r="G20" i="14"/>
  <c r="G21" i="14"/>
  <c r="L17" i="11" a="1"/>
  <c r="J4" i="11"/>
  <c r="J11" i="11" s="1"/>
  <c r="J15" i="11" s="1"/>
  <c r="J19" i="11" s="1"/>
  <c r="J23" i="11" s="1"/>
  <c r="I11" i="11"/>
  <c r="I15" i="11" s="1"/>
  <c r="I19" i="11" s="1"/>
  <c r="I23" i="11" s="1"/>
  <c r="L17" i="11" l="1"/>
  <c r="M6" i="3" s="1"/>
  <c r="N17" i="11"/>
  <c r="L13" i="11"/>
  <c r="M6" i="8"/>
  <c r="H6" i="15"/>
  <c r="H21" i="14"/>
  <c r="H20" i="14"/>
  <c r="J3" i="8"/>
  <c r="J3" i="3"/>
  <c r="I17" i="14" s="1"/>
  <c r="J3" i="2"/>
  <c r="J3" i="9"/>
  <c r="J24" i="11"/>
  <c r="J20" i="11"/>
  <c r="J12" i="11"/>
  <c r="J16" i="11"/>
  <c r="M5" i="8" l="1"/>
  <c r="H13" i="11"/>
  <c r="I13" i="11"/>
  <c r="J13" i="11"/>
  <c r="E13" i="11"/>
  <c r="F13" i="11"/>
  <c r="G13" i="11"/>
  <c r="D13" i="11"/>
  <c r="O13" i="11" s="1"/>
  <c r="D17" i="11"/>
  <c r="I17" i="11"/>
  <c r="H17" i="11"/>
  <c r="G17" i="11"/>
  <c r="F17" i="11"/>
  <c r="E17" i="11"/>
  <c r="J17" i="11"/>
  <c r="M5" i="3"/>
  <c r="I4" i="3" s="1"/>
  <c r="I6" i="15"/>
  <c r="I20" i="14"/>
  <c r="I21" i="14"/>
  <c r="J4" i="8"/>
  <c r="F4" i="3" l="1"/>
  <c r="G4" i="3"/>
  <c r="H4" i="3"/>
  <c r="E4" i="3"/>
  <c r="D4" i="3"/>
  <c r="O17" i="11"/>
  <c r="E4" i="8"/>
  <c r="E5" i="8" s="1"/>
  <c r="G4" i="8"/>
  <c r="G5" i="8" s="1"/>
  <c r="D4" i="8"/>
  <c r="D5" i="8" s="1"/>
  <c r="F4" i="8"/>
  <c r="F5" i="8" s="1"/>
  <c r="H4" i="8"/>
  <c r="H5" i="8" s="1"/>
  <c r="I4" i="8"/>
  <c r="I5" i="8" s="1"/>
  <c r="H5" i="15"/>
  <c r="H5" i="14"/>
  <c r="J5" i="8"/>
  <c r="J4" i="3"/>
  <c r="D5" i="14" l="1"/>
  <c r="E5" i="3"/>
  <c r="D5" i="15"/>
  <c r="G5" i="3"/>
  <c r="F5" i="14"/>
  <c r="F5" i="15"/>
  <c r="D5" i="3"/>
  <c r="C5" i="15"/>
  <c r="C5" i="14"/>
  <c r="H5" i="3"/>
  <c r="G5" i="15"/>
  <c r="G5" i="14"/>
  <c r="E5" i="15"/>
  <c r="E5" i="14"/>
  <c r="F5" i="3"/>
  <c r="I5" i="14"/>
  <c r="I5" i="15"/>
  <c r="H11" i="14"/>
  <c r="H13" i="14" s="1"/>
  <c r="H14" i="14" s="1"/>
  <c r="H6" i="14"/>
  <c r="H8" i="14" s="1"/>
  <c r="H8" i="15"/>
  <c r="H10" i="15" s="1"/>
  <c r="H7" i="15"/>
  <c r="I5" i="3"/>
  <c r="J5" i="3"/>
  <c r="E11" i="14" l="1"/>
  <c r="E13" i="14" s="1"/>
  <c r="E14" i="14" s="1"/>
  <c r="E6" i="14"/>
  <c r="E8" i="14" s="1"/>
  <c r="F8" i="15"/>
  <c r="F10" i="15" s="1"/>
  <c r="F7" i="15"/>
  <c r="E8" i="15"/>
  <c r="E10" i="15" s="1"/>
  <c r="E7" i="15"/>
  <c r="F11" i="14"/>
  <c r="F13" i="14" s="1"/>
  <c r="F14" i="14" s="1"/>
  <c r="F6" i="14"/>
  <c r="F8" i="14" s="1"/>
  <c r="G11" i="14"/>
  <c r="G13" i="14" s="1"/>
  <c r="G14" i="14" s="1"/>
  <c r="G6" i="14"/>
  <c r="G8" i="14" s="1"/>
  <c r="G7" i="15"/>
  <c r="G8" i="15"/>
  <c r="G10" i="15" s="1"/>
  <c r="D8" i="15"/>
  <c r="D10" i="15" s="1"/>
  <c r="D7" i="15"/>
  <c r="D11" i="15" s="1"/>
  <c r="C11" i="14"/>
  <c r="C13" i="14" s="1"/>
  <c r="C14" i="14" s="1"/>
  <c r="C6" i="14"/>
  <c r="C8" i="14" s="1"/>
  <c r="D11" i="14"/>
  <c r="D13" i="14" s="1"/>
  <c r="D14" i="14" s="1"/>
  <c r="D6" i="14"/>
  <c r="D8" i="14" s="1"/>
  <c r="C7" i="15"/>
  <c r="C8" i="15"/>
  <c r="C10" i="15" s="1"/>
  <c r="C11" i="15" s="1"/>
  <c r="H11" i="15"/>
  <c r="I8" i="15"/>
  <c r="I10" i="15" s="1"/>
  <c r="I7" i="15"/>
  <c r="I11" i="14"/>
  <c r="I13" i="14" s="1"/>
  <c r="I14" i="14" s="1"/>
  <c r="I6" i="14"/>
  <c r="I8" i="14" s="1"/>
  <c r="I11" i="15" l="1"/>
  <c r="E11" i="15"/>
  <c r="G11" i="15"/>
  <c r="F11" i="15"/>
  <c r="L25" i="11" a="1"/>
  <c r="L25" i="11" s="1"/>
  <c r="L21" i="11" a="1"/>
  <c r="L21" i="11" s="1"/>
  <c r="M6" i="2" s="1"/>
  <c r="F25" i="11" l="1"/>
  <c r="D25" i="11"/>
  <c r="I25" i="11"/>
  <c r="E25" i="11"/>
  <c r="J25" i="11"/>
  <c r="H25" i="11"/>
  <c r="M5" i="9"/>
  <c r="G25" i="11"/>
  <c r="M6" i="9"/>
  <c r="N21" i="11"/>
  <c r="O25" i="11" l="1"/>
  <c r="G4" i="9"/>
  <c r="G5" i="9" s="1"/>
  <c r="H4" i="9"/>
  <c r="H5" i="9" s="1"/>
  <c r="J4" i="9"/>
  <c r="J5" i="9" s="1"/>
  <c r="D4" i="9"/>
  <c r="D5" i="9" s="1"/>
  <c r="F4" i="9"/>
  <c r="F5" i="9" s="1"/>
  <c r="I4" i="9"/>
  <c r="I5" i="9" s="1"/>
  <c r="E4" i="9"/>
  <c r="E5" i="9" s="1"/>
  <c r="H21" i="11"/>
  <c r="D21" i="11"/>
  <c r="G21" i="11"/>
  <c r="J21" i="11"/>
  <c r="F21" i="11"/>
  <c r="E21" i="11"/>
  <c r="M5" i="2"/>
  <c r="I21" i="11"/>
  <c r="F4" i="2" l="1"/>
  <c r="F5" i="2" s="1"/>
  <c r="D4" i="2"/>
  <c r="D5" i="2" s="1"/>
  <c r="H4" i="2"/>
  <c r="H5" i="2" s="1"/>
  <c r="J4" i="2"/>
  <c r="J5" i="2" s="1"/>
  <c r="G4" i="2"/>
  <c r="G5" i="2" s="1"/>
  <c r="E4" i="2"/>
  <c r="E5" i="2" s="1"/>
  <c r="I4" i="2"/>
  <c r="I5" i="2" s="1"/>
  <c r="O21" i="11"/>
  <c r="D30" i="11" s="1" a="1"/>
  <c r="D30" i="1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<sst xmlns="http://schemas.openxmlformats.org/spreadsheetml/2006/main" count="174" uniqueCount="95">
  <si>
    <t>Price</t>
  </si>
  <si>
    <t>Revenue</t>
  </si>
  <si>
    <t>m</t>
  </si>
  <si>
    <t>Power Line of Best Fit Pricing Model</t>
  </si>
  <si>
    <t>Demand (Units)</t>
  </si>
  <si>
    <t>$</t>
  </si>
  <si>
    <t>#</t>
  </si>
  <si>
    <t>Equation</t>
  </si>
  <si>
    <t>Equation Inputs</t>
  </si>
  <si>
    <t>`</t>
  </si>
  <si>
    <t>b</t>
  </si>
  <si>
    <t>Exponential Line of Best Fit Pricing Model</t>
  </si>
  <si>
    <t>Logarithmic Line of Best Fit Pricing Model</t>
  </si>
  <si>
    <t>Linear Line of Best Fit Pricing Model</t>
  </si>
  <si>
    <t>Linear</t>
  </si>
  <si>
    <t>Logarithmic</t>
  </si>
  <si>
    <t>Exponential</t>
  </si>
  <si>
    <t>Power</t>
  </si>
  <si>
    <t>ln(a)</t>
  </si>
  <si>
    <t>a</t>
  </si>
  <si>
    <t>\</t>
  </si>
  <si>
    <t>Calculations</t>
  </si>
  <si>
    <t>std error</t>
  </si>
  <si>
    <t>INPUTS</t>
  </si>
  <si>
    <t>CALCULATIONS</t>
  </si>
  <si>
    <t>OUTPUTS</t>
  </si>
  <si>
    <t>Best fitting line:</t>
  </si>
  <si>
    <t>Actuals</t>
  </si>
  <si>
    <t>Document details</t>
  </si>
  <si>
    <t>Document owner</t>
  </si>
  <si>
    <t>Joe Bloggs</t>
  </si>
  <si>
    <t>Document version</t>
  </si>
  <si>
    <t>1.0</t>
  </si>
  <si>
    <t>Last updated</t>
  </si>
  <si>
    <t>Cell Reference</t>
  </si>
  <si>
    <t>Grey</t>
  </si>
  <si>
    <t>White</t>
  </si>
  <si>
    <t>Title / Text (Do not overwrite)</t>
  </si>
  <si>
    <t>Calculation (Do not overwrite)</t>
  </si>
  <si>
    <t>Input (Overwrite)</t>
  </si>
  <si>
    <t>Demand Forecast Tool</t>
  </si>
  <si>
    <t>How to use this tool</t>
  </si>
  <si>
    <t>Step 1. Estimate your demand function</t>
  </si>
  <si>
    <t>First, we need to estimate how changes in the price of our product result in changes in units sold. This is a difficult exercise but the most common methods to estimate this include testing different prices across geographies, using surveys, observing competing products, or speaking to subject matter experts. The goal is to get as many "price-units sold" combinations as possible.</t>
  </si>
  <si>
    <t>Step 2. Input the price-sales data into the "1. LOBF Estimator" tab</t>
  </si>
  <si>
    <t>Next, type the price and units sold data in the input fields in the next tab:</t>
  </si>
  <si>
    <t>Step 3. Determine the most appropriate demand function</t>
  </si>
  <si>
    <t>This tool will automatically fit a linear, exponential, power and logarithmic curve to your data, and determine which is the best fitting function. It will also calculate the coefficients for each function. You simply need to review call D31 to determine the best fitting function:</t>
  </si>
  <si>
    <t>Step 4. Forecast demand in the appropriate tab</t>
  </si>
  <si>
    <t>Once you have determined the best fitting function, navigate to the associated tab. The function's coefficients will already be updated in this tab. Therefore, to forecast and calculate your demand curve, you simply need to change the price values in the input cells and update the cost inputs (if needed):</t>
  </si>
  <si>
    <t>Fixed Costs</t>
  </si>
  <si>
    <t>Item</t>
  </si>
  <si>
    <t>Name</t>
  </si>
  <si>
    <t>Description</t>
  </si>
  <si>
    <t>Cost</t>
  </si>
  <si>
    <t>Insurance</t>
  </si>
  <si>
    <t>Business liability insurance</t>
  </si>
  <si>
    <t>Advertising</t>
  </si>
  <si>
    <t>Search engine marketing, newspaper ads</t>
  </si>
  <si>
    <t>Utilities</t>
  </si>
  <si>
    <t>Electrical, water, heating and cooling</t>
  </si>
  <si>
    <t>Building lease</t>
  </si>
  <si>
    <t>Cost of office</t>
  </si>
  <si>
    <t>Equipment</t>
  </si>
  <si>
    <t>Cost of production equipment</t>
  </si>
  <si>
    <t>Salary</t>
  </si>
  <si>
    <t>Owner salary</t>
  </si>
  <si>
    <t>Other</t>
  </si>
  <si>
    <t>Miscellaneous</t>
  </si>
  <si>
    <t>Total fixed costs</t>
  </si>
  <si>
    <t>Variable Costs</t>
  </si>
  <si>
    <t>Cost per unit</t>
  </si>
  <si>
    <t>Wicks</t>
  </si>
  <si>
    <t>Candle production</t>
  </si>
  <si>
    <t>Wax</t>
  </si>
  <si>
    <t>Jars and lids</t>
  </si>
  <si>
    <t>Labels</t>
  </si>
  <si>
    <t>Postage</t>
  </si>
  <si>
    <t>Candle distribution</t>
  </si>
  <si>
    <t>Contingency for leakage</t>
  </si>
  <si>
    <t>Total variable costs (per unit)</t>
  </si>
  <si>
    <t>Breakeven Analysis</t>
  </si>
  <si>
    <t>Units Sold</t>
  </si>
  <si>
    <t>Fixed Costs / Unit</t>
  </si>
  <si>
    <t>Breakeven Price</t>
  </si>
  <si>
    <t>Selling Price</t>
  </si>
  <si>
    <t>Total Fixed Cost</t>
  </si>
  <si>
    <t>Breakeven Revenue</t>
  </si>
  <si>
    <t>Breakeven Units</t>
  </si>
  <si>
    <t>Total Variable Cost</t>
  </si>
  <si>
    <t>Total Cost</t>
  </si>
  <si>
    <t>Gross Profit Analysis</t>
  </si>
  <si>
    <t>Gross Profit</t>
  </si>
  <si>
    <t>Total Costs</t>
  </si>
  <si>
    <t>Blue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</si>
</sst>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00_);_(&quot;$&quot;* \(#,##0.00\);_(&quot;$&quot;* &quot;-&quot;??_);_(@_)"/>
    <numFmt numFmtId="165" formatCode="_(* #,##0.00_);_(* \(#,##0.00\);_(* &quot;-&quot;??_);_(@_)"/>
    <numFmt numFmtId="166" formatCode="_(* #,##0_);_(* \(#,##0\);_(* &quot;-&quot;??_);_(@_)"/>
    <numFmt numFmtId="167" formatCode="_(* #,##0.0_);_(* \(#,##0.0\);_(* &quot;-&quot;??_);_(@_)"/>
  </numFmts>
  <fonts count="16">
    <font>
      <sz val="12"/>
      <color theme="1"/>
      <name val="Arial"/>
      <family val="2"/>
      <scheme val="minor"/>
    </font>
    <font>
      <sz val="12"/>
      <color theme="1"/>
      <name val="Arial"/>
      <family val="2"/>
      <scheme val="minor"/>
    </font>
    <font>
      <b/>
      <sz val="12"/>
      <color theme="0"/>
      <name val="Arial"/>
      <family val="2"/>
      <scheme val="minor"/>
    </font>
    <font>
      <b/>
      <sz val="12"/>
      <color theme="1"/>
      <name val="Arial"/>
      <family val="2"/>
      <scheme val="minor"/>
    </font>
    <font>
      <b/>
      <sz val="12"/>
      <color theme="8" tint="-0.499984740745262"/>
      <name val="Arial"/>
      <family val="2"/>
      <scheme val="minor"/>
    </font>
    <font>
      <i/>
      <sz val="12"/>
      <color theme="8" tint="-0.499984740745262"/>
      <name val="Arial"/>
      <family val="2"/>
      <scheme val="minor"/>
    </font>
    <font>
      <b/>
      <i/>
      <sz val="12"/>
      <color theme="8" tint="-0.499984740745262"/>
      <name val="Arial"/>
      <family val="2"/>
      <scheme val="minor"/>
    </font>
    <font>
      <sz val="12"/>
      <color theme="8" tint="-0.499984740745262"/>
      <name val="Arial"/>
      <family val="2"/>
      <scheme val="minor"/>
    </font>
    <font>
      <sz val="10"/>
      <name val="Arial"/>
      <family val="2"/>
    </font>
    <font>
      <sz val="12"/>
      <name val="Arial (Body)"/>
    </font>
    <font>
      <b/>
      <sz val="20"/>
      <name val="Arial"/>
      <family val="2"/>
      <scheme val="minor"/>
    </font>
    <font>
      <b/>
      <sz val="12"/>
      <color theme="0"/>
      <name val="Arial (Body)"/>
    </font>
    <font>
      <sz val="12"/>
      <color theme="1"/>
      <name val="Arial (Body)"/>
    </font>
    <font>
      <b/>
      <sz val="12"/>
      <name val="Arial (Body)"/>
    </font>
    <font>
      <sz val="12"/>
      <name val="Arial"/>
      <family val="2"/>
      <scheme val="minor"/>
    </font>
    <font>
      <sz val="12"/>
      <color rgb="FF0432FF"/>
      <name val="Arial"/>
      <family val="2"/>
      <scheme val="minor"/>
    </font>
  </fonts>
  <fills count="8">
    <fill>
      <patternFill patternType="none"/>
    </fill>
    <fill>
      <patternFill patternType="gray125"/>
    </fill>
    <fill>
      <patternFill patternType="solid">
        <fgColor theme="9"/>
        <bgColor indexed="64"/>
      </patternFill>
    </fill>
    <fill>
      <patternFill patternType="solid">
        <fgColor theme="0"/>
        <bgColor indexed="64"/>
      </patternFill>
    </fill>
    <fill>
      <patternFill patternType="solid">
        <fgColor theme="4" tint="0.79998168889431442"/>
        <bgColor indexed="64"/>
      </patternFill>
    </fill>
    <fill>
      <patternFill patternType="solid">
        <fgColor theme="0"/>
      </patternFill>
    </fill>
    <fill>
      <patternFill patternType="solid">
        <fgColor rgb="FFFFFFFF"/>
        <bgColor rgb="FF000000"/>
      </patternFill>
    </fill>
    <fill>
      <patternFill patternType="solid">
        <fgColor theme="1"/>
        <bgColor indexed="64"/>
      </patternFill>
    </fill>
  </fills>
  <borders count="42">
    <border>
      <left/>
      <right/>
      <top/>
      <bottom/>
      <diagonal/>
    </border>
    <border>
      <left/>
      <right/>
      <top style="thin">
        <color indexed="64"/>
      </top>
      <bottom style="medium">
        <color indexed="64"/>
      </bottom>
      <diagonal/>
    </border>
    <border>
      <left/>
      <right style="medium">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style="thin">
        <color auto="1"/>
      </left>
      <right style="medium">
        <color auto="1"/>
      </right>
      <top/>
      <bottom style="thin">
        <color auto="1"/>
      </bottom>
      <diagonal/>
    </border>
    <border>
      <left/>
      <right style="thin">
        <color indexed="64"/>
      </right>
      <top style="thin">
        <color indexed="64"/>
      </top>
      <bottom style="thin">
        <color indexed="64"/>
      </bottom>
      <diagonal/>
    </border>
    <border>
      <left style="thin">
        <color auto="1"/>
      </left>
      <right style="medium">
        <color auto="1"/>
      </right>
      <top style="thin">
        <color auto="1"/>
      </top>
      <bottom style="thin">
        <color auto="1"/>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hair">
        <color indexed="64"/>
      </bottom>
      <diagonal/>
    </border>
    <border>
      <left style="hair">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top style="thin">
        <color indexed="64"/>
      </top>
      <bottom/>
      <diagonal/>
    </border>
    <border>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style="medium">
        <color indexed="64"/>
      </right>
      <top/>
      <bottom style="thin">
        <color indexed="64"/>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s>
  <cellStyleXfs count="6">
    <xf numFmtId="0" fontId="0" fillId="5"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8" fillId="5" borderId="0"/>
    <xf numFmtId="0" fontId="15" fillId="5" borderId="0" applyNumberFormat="0" applyBorder="0" applyAlignment="0" applyProtection="0"/>
  </cellStyleXfs>
  <cellXfs count="133">
    <xf numFmtId="0" fontId="0" fillId="5" borderId="0" xfId="0"/>
    <xf numFmtId="0" fontId="3" fillId="2" borderId="0" xfId="0" applyFont="1" applyFill="1"/>
    <xf numFmtId="0" fontId="0" fillId="3" borderId="0" xfId="0" applyFill="1"/>
    <xf numFmtId="0" fontId="0" fillId="5" borderId="0" xfId="0" applyAlignment="1">
      <alignment vertical="center"/>
    </xf>
    <xf numFmtId="0" fontId="0" fillId="3" borderId="0" xfId="0" applyFill="1" applyAlignment="1">
      <alignment vertical="center"/>
    </xf>
    <xf numFmtId="0" fontId="7" fillId="3" borderId="0" xfId="0" applyFont="1" applyFill="1" applyAlignment="1">
      <alignment horizontal="center"/>
    </xf>
    <xf numFmtId="0" fontId="3" fillId="3" borderId="0" xfId="0" applyFont="1" applyFill="1"/>
    <xf numFmtId="0" fontId="7" fillId="3" borderId="0" xfId="0" applyFont="1" applyFill="1" applyAlignment="1">
      <alignment horizontal="center" vertical="center"/>
    </xf>
    <xf numFmtId="165" fontId="0" fillId="3" borderId="0" xfId="1" applyFont="1" applyFill="1" applyAlignment="1">
      <alignment vertical="center"/>
    </xf>
    <xf numFmtId="0" fontId="3" fillId="3" borderId="0" xfId="0" applyFont="1" applyFill="1" applyAlignment="1">
      <alignment vertical="center"/>
    </xf>
    <xf numFmtId="0" fontId="0" fillId="4" borderId="0" xfId="0" applyFill="1" applyAlignment="1">
      <alignment vertical="center"/>
    </xf>
    <xf numFmtId="0" fontId="9" fillId="5" borderId="2" xfId="4" applyFont="1" applyBorder="1" applyAlignment="1">
      <alignment vertical="center"/>
    </xf>
    <xf numFmtId="0" fontId="9" fillId="2" borderId="5" xfId="4" applyFont="1" applyFill="1" applyBorder="1" applyAlignment="1">
      <alignment horizontal="left" vertical="center" wrapText="1"/>
    </xf>
    <xf numFmtId="0" fontId="9" fillId="2" borderId="7" xfId="4" applyFont="1" applyFill="1" applyBorder="1" applyAlignment="1">
      <alignment horizontal="left" vertical="center" wrapText="1"/>
    </xf>
    <xf numFmtId="0" fontId="9" fillId="2" borderId="9" xfId="4" applyFont="1" applyFill="1" applyBorder="1" applyAlignment="1">
      <alignment horizontal="left" vertical="center" wrapText="1"/>
    </xf>
    <xf numFmtId="0" fontId="9" fillId="3" borderId="7" xfId="4" applyFont="1" applyFill="1" applyBorder="1" applyAlignment="1">
      <alignment horizontal="left" vertical="center" wrapText="1"/>
    </xf>
    <xf numFmtId="0" fontId="10" fillId="5" borderId="0" xfId="4" applyFont="1" applyAlignment="1">
      <alignment horizontal="left" vertical="center"/>
    </xf>
    <xf numFmtId="0" fontId="9" fillId="5" borderId="6" xfId="4" applyFont="1" applyBorder="1" applyAlignment="1">
      <alignment horizontal="left" vertical="center" wrapText="1"/>
    </xf>
    <xf numFmtId="49" fontId="9" fillId="5" borderId="8" xfId="4" applyNumberFormat="1" applyFont="1" applyBorder="1" applyAlignment="1">
      <alignment horizontal="left" vertical="center" wrapText="1"/>
    </xf>
    <xf numFmtId="14" fontId="9" fillId="5" borderId="10" xfId="4" applyNumberFormat="1" applyFont="1" applyBorder="1" applyAlignment="1">
      <alignment horizontal="left" vertical="center" wrapText="1"/>
    </xf>
    <xf numFmtId="0" fontId="0" fillId="3" borderId="11" xfId="0" applyFill="1" applyBorder="1" applyAlignment="1">
      <alignment vertical="center"/>
    </xf>
    <xf numFmtId="0" fontId="7" fillId="3" borderId="11" xfId="0" applyFont="1" applyFill="1" applyBorder="1" applyAlignment="1">
      <alignment horizontal="center" vertical="center"/>
    </xf>
    <xf numFmtId="0" fontId="9" fillId="5" borderId="0" xfId="4" applyFont="1" applyAlignment="1">
      <alignment vertical="center"/>
    </xf>
    <xf numFmtId="0" fontId="9" fillId="5" borderId="12" xfId="4" applyFont="1" applyBorder="1" applyAlignment="1">
      <alignment vertical="center"/>
    </xf>
    <xf numFmtId="0" fontId="9" fillId="5" borderId="0" xfId="4" applyFont="1" applyAlignment="1">
      <alignment horizontal="left" vertical="center"/>
    </xf>
    <xf numFmtId="166" fontId="0" fillId="3" borderId="11" xfId="0" applyNumberFormat="1" applyFill="1" applyBorder="1" applyAlignment="1">
      <alignment vertical="center"/>
    </xf>
    <xf numFmtId="0" fontId="0" fillId="2" borderId="16" xfId="0" applyFill="1" applyBorder="1" applyAlignment="1">
      <alignment vertical="center"/>
    </xf>
    <xf numFmtId="0" fontId="5" fillId="2" borderId="0" xfId="0" applyFont="1" applyFill="1" applyAlignment="1">
      <alignment horizontal="center" vertical="center"/>
    </xf>
    <xf numFmtId="0" fontId="0" fillId="2" borderId="17" xfId="0" applyFill="1" applyBorder="1" applyAlignment="1">
      <alignment vertical="center"/>
    </xf>
    <xf numFmtId="0" fontId="5" fillId="2" borderId="18" xfId="0" applyFont="1" applyFill="1" applyBorder="1" applyAlignment="1">
      <alignment horizontal="center" vertical="center"/>
    </xf>
    <xf numFmtId="164" fontId="1" fillId="3" borderId="23" xfId="2" applyFont="1" applyFill="1" applyBorder="1" applyAlignment="1">
      <alignment vertical="center"/>
    </xf>
    <xf numFmtId="164" fontId="1" fillId="3" borderId="6" xfId="2" applyFont="1" applyFill="1" applyBorder="1" applyAlignment="1">
      <alignment vertical="center"/>
    </xf>
    <xf numFmtId="166" fontId="0" fillId="3" borderId="22" xfId="1" applyNumberFormat="1" applyFont="1" applyFill="1" applyBorder="1" applyAlignment="1">
      <alignment vertical="center"/>
    </xf>
    <xf numFmtId="166" fontId="0" fillId="3" borderId="10" xfId="1" applyNumberFormat="1" applyFont="1" applyFill="1" applyBorder="1" applyAlignment="1">
      <alignment vertical="center"/>
    </xf>
    <xf numFmtId="164" fontId="1" fillId="2" borderId="23" xfId="2" applyFont="1" applyFill="1" applyBorder="1" applyAlignment="1">
      <alignment horizontal="left" vertical="center"/>
    </xf>
    <xf numFmtId="164" fontId="1" fillId="2" borderId="26" xfId="2" applyFont="1" applyFill="1" applyBorder="1" applyAlignment="1">
      <alignment horizontal="left" vertical="center"/>
    </xf>
    <xf numFmtId="164" fontId="1" fillId="2" borderId="6" xfId="2" applyFont="1" applyFill="1" applyBorder="1" applyAlignment="1">
      <alignment horizontal="left" vertical="center"/>
    </xf>
    <xf numFmtId="167" fontId="0" fillId="3" borderId="27" xfId="1" applyNumberFormat="1" applyFont="1" applyFill="1" applyBorder="1" applyAlignment="1">
      <alignment vertical="center"/>
    </xf>
    <xf numFmtId="167" fontId="0" fillId="3" borderId="22" xfId="1" applyNumberFormat="1" applyFont="1" applyFill="1" applyBorder="1" applyAlignment="1">
      <alignment vertical="center"/>
    </xf>
    <xf numFmtId="167" fontId="0" fillId="3" borderId="10" xfId="1" applyNumberFormat="1" applyFont="1" applyFill="1" applyBorder="1" applyAlignment="1">
      <alignment vertical="center"/>
    </xf>
    <xf numFmtId="167" fontId="0" fillId="3" borderId="0" xfId="0" applyNumberFormat="1" applyFill="1" applyAlignment="1">
      <alignment vertical="center"/>
    </xf>
    <xf numFmtId="167" fontId="0" fillId="3" borderId="0" xfId="3" applyNumberFormat="1" applyFont="1" applyFill="1" applyAlignment="1">
      <alignment vertical="center"/>
    </xf>
    <xf numFmtId="167" fontId="1" fillId="2" borderId="26" xfId="2" applyNumberFormat="1" applyFont="1" applyFill="1" applyBorder="1" applyAlignment="1">
      <alignment horizontal="left" vertical="center"/>
    </xf>
    <xf numFmtId="167" fontId="1" fillId="2" borderId="23" xfId="2" applyNumberFormat="1" applyFont="1" applyFill="1" applyBorder="1" applyAlignment="1">
      <alignment horizontal="left" vertical="center"/>
    </xf>
    <xf numFmtId="167" fontId="1" fillId="2" borderId="6" xfId="2" applyNumberFormat="1" applyFont="1" applyFill="1" applyBorder="1" applyAlignment="1">
      <alignment horizontal="left" vertical="center"/>
    </xf>
    <xf numFmtId="166" fontId="0" fillId="3" borderId="21" xfId="1" applyNumberFormat="1" applyFont="1" applyFill="1" applyBorder="1" applyAlignment="1">
      <alignment vertical="center"/>
    </xf>
    <xf numFmtId="166" fontId="0" fillId="3" borderId="8" xfId="1" applyNumberFormat="1" applyFont="1" applyFill="1" applyBorder="1" applyAlignment="1">
      <alignment vertical="center"/>
    </xf>
    <xf numFmtId="0" fontId="0" fillId="2" borderId="30" xfId="0" applyFill="1" applyBorder="1" applyAlignment="1">
      <alignment vertical="center"/>
    </xf>
    <xf numFmtId="0" fontId="5" fillId="2" borderId="31" xfId="0" applyFont="1" applyFill="1" applyBorder="1" applyAlignment="1">
      <alignment horizontal="center" vertical="center"/>
    </xf>
    <xf numFmtId="0" fontId="3" fillId="2" borderId="28" xfId="0" applyFont="1" applyFill="1" applyBorder="1" applyAlignment="1">
      <alignment vertical="center"/>
    </xf>
    <xf numFmtId="0" fontId="6" fillId="2" borderId="1" xfId="0" applyFont="1" applyFill="1" applyBorder="1" applyAlignment="1">
      <alignment horizontal="center" vertical="center"/>
    </xf>
    <xf numFmtId="164" fontId="3" fillId="3" borderId="22" xfId="2" applyFont="1" applyFill="1" applyBorder="1" applyAlignment="1">
      <alignment vertical="center"/>
    </xf>
    <xf numFmtId="164" fontId="3" fillId="3" borderId="10" xfId="2" applyFont="1" applyFill="1" applyBorder="1" applyAlignment="1">
      <alignment vertical="center"/>
    </xf>
    <xf numFmtId="0" fontId="9" fillId="5" borderId="0" xfId="4" applyFont="1"/>
    <xf numFmtId="0" fontId="13" fillId="3" borderId="33" xfId="4" applyFont="1" applyFill="1" applyBorder="1" applyAlignment="1">
      <alignment horizontal="center" vertical="center"/>
    </xf>
    <xf numFmtId="0" fontId="13" fillId="3" borderId="29" xfId="4" applyFont="1" applyFill="1" applyBorder="1" applyAlignment="1">
      <alignment horizontal="center" vertical="center"/>
    </xf>
    <xf numFmtId="164" fontId="9" fillId="5" borderId="10" xfId="2" applyFont="1" applyFill="1" applyBorder="1" applyAlignment="1">
      <alignment horizontal="center" vertical="center" wrapText="1"/>
    </xf>
    <xf numFmtId="0" fontId="9" fillId="5" borderId="0" xfId="4" applyFont="1" applyAlignment="1">
      <alignment horizontal="left"/>
    </xf>
    <xf numFmtId="0" fontId="13" fillId="2" borderId="28" xfId="4" applyFont="1" applyFill="1" applyBorder="1" applyAlignment="1">
      <alignment horizontal="left" vertical="center"/>
    </xf>
    <xf numFmtId="0" fontId="13" fillId="2" borderId="1" xfId="4" applyFont="1" applyFill="1" applyBorder="1" applyAlignment="1">
      <alignment horizontal="left" vertical="center"/>
    </xf>
    <xf numFmtId="0" fontId="13" fillId="2" borderId="9" xfId="4" applyFont="1" applyFill="1" applyBorder="1" applyAlignment="1">
      <alignment horizontal="left" vertical="center"/>
    </xf>
    <xf numFmtId="0" fontId="12" fillId="5" borderId="0" xfId="0" applyFont="1" applyAlignment="1">
      <alignment vertical="center"/>
    </xf>
    <xf numFmtId="0" fontId="9" fillId="3" borderId="33" xfId="4" applyFont="1" applyFill="1" applyBorder="1" applyAlignment="1">
      <alignment vertical="center"/>
    </xf>
    <xf numFmtId="164" fontId="9" fillId="3" borderId="7" xfId="4" applyNumberFormat="1" applyFont="1" applyFill="1" applyBorder="1" applyAlignment="1">
      <alignment horizontal="left" vertical="center"/>
    </xf>
    <xf numFmtId="0" fontId="13" fillId="2" borderId="28" xfId="4" applyFont="1" applyFill="1" applyBorder="1" applyAlignment="1">
      <alignment vertical="center"/>
    </xf>
    <xf numFmtId="164" fontId="13" fillId="2" borderId="22" xfId="4" applyNumberFormat="1" applyFont="1" applyFill="1" applyBorder="1" applyAlignment="1">
      <alignment vertical="center"/>
    </xf>
    <xf numFmtId="0" fontId="13" fillId="2" borderId="35" xfId="4" applyFont="1" applyFill="1" applyBorder="1" applyAlignment="1">
      <alignment vertical="center"/>
    </xf>
    <xf numFmtId="164" fontId="13" fillId="2" borderId="21" xfId="4" applyNumberFormat="1" applyFont="1" applyFill="1" applyBorder="1" applyAlignment="1">
      <alignment vertical="center"/>
    </xf>
    <xf numFmtId="166" fontId="13" fillId="2" borderId="22" xfId="1" applyNumberFormat="1" applyFont="1" applyFill="1" applyBorder="1" applyAlignment="1">
      <alignment vertical="center"/>
    </xf>
    <xf numFmtId="166" fontId="13" fillId="2" borderId="10" xfId="1" applyNumberFormat="1" applyFont="1" applyFill="1" applyBorder="1" applyAlignment="1">
      <alignment horizontal="center" vertical="center" wrapText="1"/>
    </xf>
    <xf numFmtId="164" fontId="9" fillId="5" borderId="0" xfId="4" applyNumberFormat="1" applyFont="1" applyAlignment="1">
      <alignment horizontal="left"/>
    </xf>
    <xf numFmtId="164" fontId="9" fillId="3" borderId="36" xfId="4" applyNumberFormat="1" applyFont="1" applyFill="1" applyBorder="1" applyAlignment="1">
      <alignment horizontal="left" vertical="center"/>
    </xf>
    <xf numFmtId="164" fontId="13" fillId="2" borderId="10" xfId="4" applyNumberFormat="1" applyFont="1" applyFill="1" applyBorder="1" applyAlignment="1">
      <alignment vertical="center"/>
    </xf>
    <xf numFmtId="164" fontId="13" fillId="2" borderId="8" xfId="4" applyNumberFormat="1" applyFont="1" applyFill="1" applyBorder="1" applyAlignment="1">
      <alignment vertical="center"/>
    </xf>
    <xf numFmtId="166" fontId="9" fillId="3" borderId="7" xfId="1" applyNumberFormat="1" applyFont="1" applyFill="1" applyBorder="1" applyAlignment="1">
      <alignment horizontal="left" vertical="center"/>
    </xf>
    <xf numFmtId="164" fontId="9" fillId="3" borderId="8" xfId="4" applyNumberFormat="1" applyFont="1" applyFill="1" applyBorder="1" applyAlignment="1">
      <alignment horizontal="left" vertical="center"/>
    </xf>
    <xf numFmtId="166" fontId="9" fillId="3" borderId="8" xfId="1" applyNumberFormat="1" applyFont="1" applyFill="1" applyBorder="1" applyAlignment="1">
      <alignment horizontal="left" vertical="center"/>
    </xf>
    <xf numFmtId="0" fontId="14" fillId="6" borderId="33" xfId="0" applyFont="1" applyFill="1" applyBorder="1" applyAlignment="1">
      <alignment vertical="center"/>
    </xf>
    <xf numFmtId="0" fontId="13" fillId="3" borderId="27" xfId="4" applyFont="1" applyFill="1" applyBorder="1" applyAlignment="1">
      <alignment vertical="center"/>
    </xf>
    <xf numFmtId="164" fontId="13" fillId="3" borderId="9" xfId="4" applyNumberFormat="1" applyFont="1" applyFill="1" applyBorder="1" applyAlignment="1">
      <alignment horizontal="left" vertical="center"/>
    </xf>
    <xf numFmtId="164" fontId="13" fillId="3" borderId="37" xfId="4" applyNumberFormat="1" applyFont="1" applyFill="1" applyBorder="1" applyAlignment="1">
      <alignment horizontal="left" vertical="center"/>
    </xf>
    <xf numFmtId="0" fontId="9" fillId="3" borderId="26" xfId="4" applyFont="1" applyFill="1" applyBorder="1" applyAlignment="1">
      <alignment vertical="center"/>
    </xf>
    <xf numFmtId="164" fontId="9" fillId="3" borderId="5" xfId="4" applyNumberFormat="1" applyFont="1" applyFill="1" applyBorder="1" applyAlignment="1">
      <alignment horizontal="left" vertical="center"/>
    </xf>
    <xf numFmtId="164" fontId="9" fillId="3" borderId="38" xfId="4" applyNumberFormat="1" applyFont="1" applyFill="1" applyBorder="1" applyAlignment="1">
      <alignment horizontal="left" vertical="center"/>
    </xf>
    <xf numFmtId="0" fontId="13" fillId="2" borderId="39" xfId="4" applyFont="1" applyFill="1" applyBorder="1" applyAlignment="1">
      <alignment vertical="center"/>
    </xf>
    <xf numFmtId="164" fontId="13" fillId="2" borderId="40" xfId="4" applyNumberFormat="1" applyFont="1" applyFill="1" applyBorder="1" applyAlignment="1">
      <alignment horizontal="left" vertical="center"/>
    </xf>
    <xf numFmtId="164" fontId="13" fillId="2" borderId="41" xfId="4" applyNumberFormat="1" applyFont="1" applyFill="1" applyBorder="1" applyAlignment="1">
      <alignment horizontal="left" vertical="center"/>
    </xf>
    <xf numFmtId="0" fontId="0" fillId="3" borderId="18" xfId="0" applyFill="1" applyBorder="1" applyAlignment="1">
      <alignment vertical="center"/>
    </xf>
    <xf numFmtId="0" fontId="7" fillId="3" borderId="18" xfId="0" applyFont="1" applyFill="1" applyBorder="1" applyAlignment="1">
      <alignment horizontal="center" vertical="center"/>
    </xf>
    <xf numFmtId="0" fontId="2" fillId="7" borderId="0" xfId="4" applyFont="1" applyFill="1" applyAlignment="1">
      <alignment vertical="center" wrapText="1"/>
    </xf>
    <xf numFmtId="0" fontId="15" fillId="5" borderId="9" xfId="5" applyBorder="1" applyAlignment="1">
      <alignment horizontal="left" vertical="center" wrapText="1"/>
    </xf>
    <xf numFmtId="164" fontId="15" fillId="5" borderId="23" xfId="5" applyNumberFormat="1" applyBorder="1" applyAlignment="1">
      <alignment vertical="center"/>
    </xf>
    <xf numFmtId="164" fontId="15" fillId="5" borderId="6" xfId="5" applyNumberFormat="1" applyBorder="1" applyAlignment="1">
      <alignment vertical="center"/>
    </xf>
    <xf numFmtId="166" fontId="15" fillId="5" borderId="22" xfId="5" applyNumberFormat="1" applyBorder="1" applyAlignment="1">
      <alignment vertical="center"/>
    </xf>
    <xf numFmtId="166" fontId="15" fillId="5" borderId="10" xfId="5" applyNumberFormat="1" applyBorder="1" applyAlignment="1">
      <alignment vertical="center"/>
    </xf>
    <xf numFmtId="0" fontId="2" fillId="7" borderId="24" xfId="0" applyFont="1" applyFill="1" applyBorder="1" applyAlignment="1">
      <alignment vertical="center"/>
    </xf>
    <xf numFmtId="0" fontId="4" fillId="7" borderId="25" xfId="0" applyFont="1" applyFill="1" applyBorder="1" applyAlignment="1">
      <alignment horizontal="center" vertical="center"/>
    </xf>
    <xf numFmtId="0" fontId="2" fillId="7" borderId="19" xfId="0" applyFont="1" applyFill="1" applyBorder="1" applyAlignment="1">
      <alignment horizontal="center" vertical="center"/>
    </xf>
    <xf numFmtId="0" fontId="2" fillId="7" borderId="20" xfId="0" applyFont="1" applyFill="1" applyBorder="1" applyAlignment="1">
      <alignment horizontal="center" vertical="center"/>
    </xf>
    <xf numFmtId="0" fontId="2" fillId="7" borderId="13" xfId="0" applyFont="1" applyFill="1" applyBorder="1" applyAlignment="1">
      <alignment vertical="center"/>
    </xf>
    <xf numFmtId="0" fontId="0" fillId="7" borderId="14" xfId="0" applyFill="1" applyBorder="1" applyAlignment="1">
      <alignment vertical="center"/>
    </xf>
    <xf numFmtId="0" fontId="2" fillId="7" borderId="15" xfId="0" applyFont="1" applyFill="1" applyBorder="1" applyAlignment="1">
      <alignment vertical="center"/>
    </xf>
    <xf numFmtId="167" fontId="2" fillId="7" borderId="13" xfId="0" applyNumberFormat="1" applyFont="1" applyFill="1" applyBorder="1" applyAlignment="1">
      <alignment vertical="center"/>
    </xf>
    <xf numFmtId="167" fontId="0" fillId="7" borderId="14" xfId="0" applyNumberFormat="1" applyFill="1" applyBorder="1" applyAlignment="1">
      <alignment vertical="center"/>
    </xf>
    <xf numFmtId="167" fontId="2" fillId="7" borderId="15" xfId="0" applyNumberFormat="1" applyFont="1" applyFill="1" applyBorder="1" applyAlignment="1">
      <alignment vertical="center"/>
    </xf>
    <xf numFmtId="0" fontId="4" fillId="7" borderId="14" xfId="0" applyFont="1" applyFill="1" applyBorder="1" applyAlignment="1">
      <alignment horizontal="center" vertical="center"/>
    </xf>
    <xf numFmtId="0" fontId="0" fillId="7" borderId="15" xfId="0" applyFill="1" applyBorder="1" applyAlignment="1">
      <alignment vertical="center"/>
    </xf>
    <xf numFmtId="164" fontId="15" fillId="5" borderId="21" xfId="5" applyNumberFormat="1" applyBorder="1" applyAlignment="1">
      <alignment vertical="center"/>
    </xf>
    <xf numFmtId="164" fontId="15" fillId="5" borderId="8" xfId="5" applyNumberFormat="1" applyBorder="1" applyAlignment="1">
      <alignment vertical="center"/>
    </xf>
    <xf numFmtId="0" fontId="15" fillId="5" borderId="7" xfId="5" applyBorder="1" applyAlignment="1">
      <alignment horizontal="left" vertical="center"/>
    </xf>
    <xf numFmtId="0" fontId="15" fillId="5" borderId="21" xfId="5" applyBorder="1" applyAlignment="1">
      <alignment horizontal="left" vertical="center" wrapText="1"/>
    </xf>
    <xf numFmtId="164" fontId="15" fillId="5" borderId="8" xfId="5" applyNumberFormat="1" applyBorder="1" applyAlignment="1">
      <alignment horizontal="center" vertical="center" wrapText="1"/>
    </xf>
    <xf numFmtId="0" fontId="15" fillId="5" borderId="31" xfId="5" applyBorder="1" applyAlignment="1">
      <alignment horizontal="left" vertical="center"/>
    </xf>
    <xf numFmtId="164" fontId="15" fillId="5" borderId="34" xfId="5" applyNumberFormat="1" applyBorder="1" applyAlignment="1">
      <alignment horizontal="center" vertical="center" wrapText="1"/>
    </xf>
    <xf numFmtId="0" fontId="11" fillId="7" borderId="32" xfId="4" applyFont="1" applyFill="1" applyBorder="1" applyAlignment="1">
      <alignment horizontal="left" vertical="center"/>
    </xf>
    <xf numFmtId="0" fontId="11" fillId="7" borderId="19" xfId="4" applyFont="1" applyFill="1" applyBorder="1" applyAlignment="1">
      <alignment horizontal="left" vertical="center" wrapText="1"/>
    </xf>
    <xf numFmtId="0" fontId="11" fillId="7" borderId="20" xfId="4" applyFont="1" applyFill="1" applyBorder="1" applyAlignment="1">
      <alignment horizontal="left" vertical="center" wrapText="1"/>
    </xf>
    <xf numFmtId="0" fontId="11" fillId="7" borderId="32" xfId="4" applyFont="1" applyFill="1" applyBorder="1" applyAlignment="1">
      <alignment vertical="center"/>
    </xf>
    <xf numFmtId="0" fontId="11" fillId="7" borderId="19" xfId="4" applyFont="1" applyFill="1" applyBorder="1" applyAlignment="1">
      <alignment horizontal="center" vertical="center" wrapText="1"/>
    </xf>
    <xf numFmtId="0" fontId="11" fillId="7" borderId="20" xfId="4" applyFont="1" applyFill="1" applyBorder="1" applyAlignment="1">
      <alignment horizontal="center" vertical="center" wrapText="1"/>
    </xf>
    <xf numFmtId="166" fontId="15" fillId="5" borderId="7" xfId="5" applyNumberFormat="1" applyBorder="1" applyAlignment="1">
      <alignment horizontal="left" vertical="center"/>
    </xf>
    <xf numFmtId="166" fontId="15" fillId="5" borderId="36" xfId="5" applyNumberFormat="1" applyBorder="1" applyAlignment="1">
      <alignment horizontal="left" vertical="center"/>
    </xf>
    <xf numFmtId="164" fontId="15" fillId="5" borderId="7" xfId="5" applyNumberFormat="1" applyBorder="1" applyAlignment="1">
      <alignment horizontal="left" vertical="center"/>
    </xf>
    <xf numFmtId="164" fontId="15" fillId="5" borderId="8" xfId="5" applyNumberFormat="1" applyBorder="1" applyAlignment="1">
      <alignment horizontal="left" vertical="center"/>
    </xf>
    <xf numFmtId="164" fontId="15" fillId="5" borderId="36" xfId="5" applyNumberFormat="1" applyBorder="1" applyAlignment="1">
      <alignment horizontal="left" vertical="center"/>
    </xf>
    <xf numFmtId="0" fontId="9" fillId="5" borderId="0" xfId="4" applyFont="1" applyAlignment="1">
      <alignment horizontal="left" vertical="top" wrapText="1"/>
    </xf>
    <xf numFmtId="0" fontId="11" fillId="7" borderId="3" xfId="4" applyFont="1" applyFill="1" applyBorder="1" applyAlignment="1">
      <alignment horizontal="left" vertical="center"/>
    </xf>
    <xf numFmtId="0" fontId="11" fillId="7" borderId="4" xfId="4" applyFont="1" applyFill="1" applyBorder="1" applyAlignment="1">
      <alignment horizontal="left" vertical="center"/>
    </xf>
    <xf numFmtId="0" fontId="11" fillId="7" borderId="0" xfId="4" applyFont="1" applyFill="1" applyAlignment="1">
      <alignment horizontal="left" vertical="center"/>
    </xf>
    <xf numFmtId="0" fontId="12" fillId="5" borderId="0" xfId="0" applyFont="1" applyAlignment="1">
      <alignment vertical="center"/>
    </xf>
    <xf numFmtId="0" fontId="13" fillId="2" borderId="28" xfId="4" applyFont="1" applyFill="1" applyBorder="1" applyAlignment="1">
      <alignment horizontal="left" vertical="center"/>
    </xf>
    <xf numFmtId="0" fontId="13" fillId="2" borderId="1" xfId="4" applyFont="1" applyFill="1" applyBorder="1" applyAlignment="1">
      <alignment horizontal="left" vertical="center"/>
    </xf>
    <xf numFmtId="0" fontId="13" fillId="2" borderId="9" xfId="4" applyFont="1" applyFill="1" applyBorder="1" applyAlignment="1">
      <alignment horizontal="left" vertical="center"/>
    </xf>
  </cellXfs>
  <cellStyles count="6">
    <cellStyle name="Comma" xfId="1" builtinId="3"/>
    <cellStyle name="Currency" xfId="2" builtinId="4"/>
    <cellStyle name="Input" xfId="5" builtinId="20" customBuiltin="1"/>
    <cellStyle name="Normal" xfId="0" builtinId="0" customBuiltin="1"/>
    <cellStyle name="Normal 2" xfId="4" xr:uid="{AA167478-43A2-D24A-A5C3-AAAA7B5755E4}"/>
    <cellStyle name="Percent" xfId="3" builtinId="5"/>
  </cellStyles>
  <dxfs count="0"/>
  <tableStyles count="0" defaultTableStyle="TableStyleMedium2" defaultPivotStyle="PivotStyleLight16"/>
  <colors>
    <mruColors>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solidFill>
                <a:latin typeface="+mn-lt"/>
                <a:ea typeface="+mn-ea"/>
                <a:cs typeface="+mn-cs"/>
              </a:defRPr>
            </a:pPr>
            <a:r>
              <a:rPr lang="en-GB"/>
              <a:t>Comparison of Lines of Best</a:t>
            </a:r>
            <a:r>
              <a:rPr lang="en-GB" baseline="0"/>
              <a:t> Fit</a:t>
            </a:r>
            <a:endParaRPr lang="en-GB"/>
          </a:p>
        </c:rich>
      </c:tx>
      <c:layout>
        <c:manualLayout>
          <c:xMode val="edge"/>
          <c:yMode val="edge"/>
          <c:x val="0.4092922275293096"/>
          <c:y val="4.4362292051756007E-2"/>
        </c:manualLayout>
      </c:layout>
      <c:overlay val="0"/>
      <c:spPr>
        <a:noFill/>
        <a:ln>
          <a:noFill/>
        </a:ln>
        <a:effectLst/>
      </c:spPr>
      <c:txPr>
        <a:bodyPr rot="0" spcFirstLastPara="1" vertOverflow="ellipsis" vert="horz" wrap="square" anchor="ctr" anchorCtr="1"/>
        <a:lstStyle/>
        <a:p>
          <a:pPr>
            <a:defRPr sz="1440" b="0"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8.3831496746797227E-2"/>
          <c:y val="0.12617389785611363"/>
          <c:w val="0.79553420564070831"/>
          <c:h val="0.7930404471160144"/>
        </c:manualLayout>
      </c:layout>
      <c:scatterChart>
        <c:scatterStyle val="smoothMarker"/>
        <c:varyColors val="0"/>
        <c:ser>
          <c:idx val="0"/>
          <c:order val="0"/>
          <c:tx>
            <c:v>Actuals</c:v>
          </c:tx>
          <c:spPr>
            <a:ln w="19050" cap="rnd">
              <a:solidFill>
                <a:schemeClr val="tx1"/>
              </a:solidFill>
              <a:round/>
            </a:ln>
            <a:effectLst/>
          </c:spPr>
          <c:marker>
            <c:symbol val="circle"/>
            <c:size val="5"/>
            <c:spPr>
              <a:noFill/>
              <a:ln w="9525">
                <a:noFill/>
              </a:ln>
              <a:effectLst/>
            </c:spPr>
          </c:marker>
          <c:xVal>
            <c:numRef>
              <c:f>'1. LOBF Estimator'!$D$5:$J$5</c:f>
              <c:numCache>
                <c:formatCode>_("$"* #,##0.00_);_("$"* \(#,##0.00\);_("$"* "-"??_);_(@_)</c:formatCode>
                <c:ptCount val="7"/>
                <c:pt idx="0">
                  <c:v>10</c:v>
                </c:pt>
                <c:pt idx="1">
                  <c:v>15</c:v>
                </c:pt>
                <c:pt idx="2">
                  <c:v>20</c:v>
                </c:pt>
                <c:pt idx="3">
                  <c:v>25</c:v>
                </c:pt>
                <c:pt idx="4">
                  <c:v>30</c:v>
                </c:pt>
                <c:pt idx="5">
                  <c:v>35</c:v>
                </c:pt>
                <c:pt idx="6">
                  <c:v>40</c:v>
                </c:pt>
              </c:numCache>
            </c:numRef>
          </c:xVal>
          <c:yVal>
            <c:numRef>
              <c:f>'1. LOBF Estimator'!$D$6:$J$6</c:f>
              <c:numCache>
                <c:formatCode>_(* #,##0_);_(* \(#,##0\);_(* "-"??_);_(@_)</c:formatCode>
                <c:ptCount val="7"/>
                <c:pt idx="0">
                  <c:v>31000</c:v>
                </c:pt>
                <c:pt idx="1">
                  <c:v>20000</c:v>
                </c:pt>
                <c:pt idx="2">
                  <c:v>15000</c:v>
                </c:pt>
                <c:pt idx="3">
                  <c:v>9500</c:v>
                </c:pt>
                <c:pt idx="4">
                  <c:v>6500</c:v>
                </c:pt>
                <c:pt idx="5">
                  <c:v>4500</c:v>
                </c:pt>
                <c:pt idx="6">
                  <c:v>3000</c:v>
                </c:pt>
              </c:numCache>
            </c:numRef>
          </c:yVal>
          <c:smooth val="1"/>
          <c:extLst>
            <c:ext xmlns:c16="http://schemas.microsoft.com/office/drawing/2014/chart" uri="{C3380CC4-5D6E-409C-BE32-E72D297353CC}">
              <c16:uniqueId val="{00000000-44CA-F44B-A6E5-24F6358BD620}"/>
            </c:ext>
          </c:extLst>
        </c:ser>
        <c:ser>
          <c:idx val="1"/>
          <c:order val="1"/>
          <c:tx>
            <c:v>Linear</c:v>
          </c:tx>
          <c:spPr>
            <a:ln w="19050" cap="rnd">
              <a:solidFill>
                <a:srgbClr val="FF0000"/>
              </a:solidFill>
              <a:prstDash val="sysDot"/>
              <a:round/>
            </a:ln>
            <a:effectLst/>
          </c:spPr>
          <c:marker>
            <c:symbol val="circle"/>
            <c:size val="5"/>
            <c:spPr>
              <a:noFill/>
              <a:ln w="9525">
                <a:noFill/>
              </a:ln>
              <a:effectLst/>
            </c:spPr>
          </c:marker>
          <c:xVal>
            <c:numRef>
              <c:f>'1. LOBF Estimator'!$D$12:$J$12</c:f>
              <c:numCache>
                <c:formatCode>_("$"* #,##0.00_);_("$"* \(#,##0.00\);_("$"* "-"??_);_(@_)</c:formatCode>
                <c:ptCount val="7"/>
                <c:pt idx="0">
                  <c:v>10</c:v>
                </c:pt>
                <c:pt idx="1">
                  <c:v>15</c:v>
                </c:pt>
                <c:pt idx="2">
                  <c:v>20</c:v>
                </c:pt>
                <c:pt idx="3">
                  <c:v>25</c:v>
                </c:pt>
                <c:pt idx="4">
                  <c:v>30</c:v>
                </c:pt>
                <c:pt idx="5">
                  <c:v>35</c:v>
                </c:pt>
                <c:pt idx="6">
                  <c:v>40</c:v>
                </c:pt>
              </c:numCache>
            </c:numRef>
          </c:xVal>
          <c:yVal>
            <c:numRef>
              <c:f>'1. LOBF Estimator'!$D$13:$J$13</c:f>
              <c:numCache>
                <c:formatCode>_(* #,##0_);_(* \(#,##0\);_(* "-"??_);_(@_)</c:formatCode>
                <c:ptCount val="7"/>
                <c:pt idx="0">
                  <c:v>26017.857142857138</c:v>
                </c:pt>
                <c:pt idx="1">
                  <c:v>21607.142857142855</c:v>
                </c:pt>
                <c:pt idx="2">
                  <c:v>17196.428571428569</c:v>
                </c:pt>
                <c:pt idx="3">
                  <c:v>12785.714285714286</c:v>
                </c:pt>
                <c:pt idx="4">
                  <c:v>8375</c:v>
                </c:pt>
                <c:pt idx="5">
                  <c:v>3964.2857142857138</c:v>
                </c:pt>
                <c:pt idx="6">
                  <c:v>-446.42857142857247</c:v>
                </c:pt>
              </c:numCache>
            </c:numRef>
          </c:yVal>
          <c:smooth val="0"/>
          <c:extLst>
            <c:ext xmlns:c16="http://schemas.microsoft.com/office/drawing/2014/chart" uri="{C3380CC4-5D6E-409C-BE32-E72D297353CC}">
              <c16:uniqueId val="{00000001-44CA-F44B-A6E5-24F6358BD620}"/>
            </c:ext>
          </c:extLst>
        </c:ser>
        <c:ser>
          <c:idx val="2"/>
          <c:order val="2"/>
          <c:tx>
            <c:v>Exponential</c:v>
          </c:tx>
          <c:spPr>
            <a:ln w="19050" cap="rnd">
              <a:solidFill>
                <a:srgbClr val="00B050"/>
              </a:solidFill>
              <a:prstDash val="sysDot"/>
              <a:round/>
            </a:ln>
            <a:effectLst/>
          </c:spPr>
          <c:marker>
            <c:symbol val="circle"/>
            <c:size val="5"/>
            <c:spPr>
              <a:noFill/>
              <a:ln w="9525">
                <a:noFill/>
              </a:ln>
              <a:effectLst/>
            </c:spPr>
          </c:marker>
          <c:xVal>
            <c:numRef>
              <c:f>'1. LOBF Estimator'!$D$16:$J$16</c:f>
              <c:numCache>
                <c:formatCode>_("$"* #,##0.00_);_("$"* \(#,##0.00\);_("$"* "-"??_);_(@_)</c:formatCode>
                <c:ptCount val="7"/>
                <c:pt idx="0">
                  <c:v>10</c:v>
                </c:pt>
                <c:pt idx="1">
                  <c:v>15</c:v>
                </c:pt>
                <c:pt idx="2">
                  <c:v>20</c:v>
                </c:pt>
                <c:pt idx="3">
                  <c:v>25</c:v>
                </c:pt>
                <c:pt idx="4">
                  <c:v>30</c:v>
                </c:pt>
                <c:pt idx="5">
                  <c:v>35</c:v>
                </c:pt>
                <c:pt idx="6">
                  <c:v>40</c:v>
                </c:pt>
              </c:numCache>
            </c:numRef>
          </c:xVal>
          <c:yVal>
            <c:numRef>
              <c:f>'1. LOBF Estimator'!$D$17:$J$17</c:f>
              <c:numCache>
                <c:formatCode>_(* #,##0_);_(* \(#,##0\);_(* "-"??_);_(@_)</c:formatCode>
                <c:ptCount val="7"/>
                <c:pt idx="0">
                  <c:v>30756.964671838243</c:v>
                </c:pt>
                <c:pt idx="1">
                  <c:v>20894.478620728689</c:v>
                </c:pt>
                <c:pt idx="2">
                  <c:v>14194.483801967295</c:v>
                </c:pt>
                <c:pt idx="3">
                  <c:v>9642.900120246466</c:v>
                </c:pt>
                <c:pt idx="4">
                  <c:v>6550.8210109170677</c:v>
                </c:pt>
                <c:pt idx="5">
                  <c:v>4450.2437422296634</c:v>
                </c:pt>
                <c:pt idx="6">
                  <c:v>3023.2346956586694</c:v>
                </c:pt>
              </c:numCache>
            </c:numRef>
          </c:yVal>
          <c:smooth val="1"/>
          <c:extLst>
            <c:ext xmlns:c16="http://schemas.microsoft.com/office/drawing/2014/chart" uri="{C3380CC4-5D6E-409C-BE32-E72D297353CC}">
              <c16:uniqueId val="{00000002-44CA-F44B-A6E5-24F6358BD620}"/>
            </c:ext>
          </c:extLst>
        </c:ser>
        <c:ser>
          <c:idx val="3"/>
          <c:order val="3"/>
          <c:tx>
            <c:v>Power</c:v>
          </c:tx>
          <c:spPr>
            <a:ln w="19050" cap="rnd">
              <a:solidFill>
                <a:srgbClr val="0070C0"/>
              </a:solidFill>
              <a:prstDash val="sysDot"/>
              <a:round/>
            </a:ln>
            <a:effectLst/>
          </c:spPr>
          <c:marker>
            <c:symbol val="circle"/>
            <c:size val="5"/>
            <c:spPr>
              <a:noFill/>
              <a:ln w="9525">
                <a:noFill/>
              </a:ln>
              <a:effectLst/>
            </c:spPr>
          </c:marker>
          <c:xVal>
            <c:numRef>
              <c:f>'1. LOBF Estimator'!$D$20:$J$20</c:f>
              <c:numCache>
                <c:formatCode>_("$"* #,##0.00_);_("$"* \(#,##0.00\);_("$"* "-"??_);_(@_)</c:formatCode>
                <c:ptCount val="7"/>
                <c:pt idx="0">
                  <c:v>10</c:v>
                </c:pt>
                <c:pt idx="1">
                  <c:v>15</c:v>
                </c:pt>
                <c:pt idx="2">
                  <c:v>20</c:v>
                </c:pt>
                <c:pt idx="3">
                  <c:v>25</c:v>
                </c:pt>
                <c:pt idx="4">
                  <c:v>30</c:v>
                </c:pt>
                <c:pt idx="5">
                  <c:v>35</c:v>
                </c:pt>
                <c:pt idx="6">
                  <c:v>40</c:v>
                </c:pt>
              </c:numCache>
            </c:numRef>
          </c:xVal>
          <c:yVal>
            <c:numRef>
              <c:f>'1. LOBF Estimator'!$D$21:$J$21</c:f>
              <c:numCache>
                <c:formatCode>_(* #,##0_);_(* \(#,##0\);_(* "-"??_);_(@_)</c:formatCode>
                <c:ptCount val="7"/>
                <c:pt idx="0">
                  <c:v>37787.592874883405</c:v>
                </c:pt>
                <c:pt idx="1">
                  <c:v>19261.927252439702</c:v>
                </c:pt>
                <c:pt idx="2">
                  <c:v>11941.575292407944</c:v>
                </c:pt>
                <c:pt idx="3">
                  <c:v>8241.4757527183665</c:v>
                </c:pt>
                <c:pt idx="4">
                  <c:v>6087.1237637044824</c:v>
                </c:pt>
                <c:pt idx="5">
                  <c:v>4711.4215036776286</c:v>
                </c:pt>
                <c:pt idx="6">
                  <c:v>3773.7577235048443</c:v>
                </c:pt>
              </c:numCache>
            </c:numRef>
          </c:yVal>
          <c:smooth val="1"/>
          <c:extLst>
            <c:ext xmlns:c16="http://schemas.microsoft.com/office/drawing/2014/chart" uri="{C3380CC4-5D6E-409C-BE32-E72D297353CC}">
              <c16:uniqueId val="{00000003-44CA-F44B-A6E5-24F6358BD620}"/>
            </c:ext>
          </c:extLst>
        </c:ser>
        <c:ser>
          <c:idx val="4"/>
          <c:order val="4"/>
          <c:tx>
            <c:v>Logarithmic</c:v>
          </c:tx>
          <c:spPr>
            <a:ln w="19050" cap="rnd">
              <a:solidFill>
                <a:srgbClr val="FFC000"/>
              </a:solidFill>
              <a:prstDash val="sysDot"/>
              <a:round/>
            </a:ln>
            <a:effectLst/>
          </c:spPr>
          <c:marker>
            <c:symbol val="circle"/>
            <c:size val="5"/>
            <c:spPr>
              <a:noFill/>
              <a:ln w="9525">
                <a:noFill/>
              </a:ln>
              <a:effectLst/>
            </c:spPr>
          </c:marker>
          <c:xVal>
            <c:numRef>
              <c:f>'1. LOBF Estimator'!$D$24:$J$24</c:f>
              <c:numCache>
                <c:formatCode>_("$"* #,##0.00_);_("$"* \(#,##0.00\);_("$"* "-"??_);_(@_)</c:formatCode>
                <c:ptCount val="7"/>
                <c:pt idx="0">
                  <c:v>10</c:v>
                </c:pt>
                <c:pt idx="1">
                  <c:v>15</c:v>
                </c:pt>
                <c:pt idx="2">
                  <c:v>20</c:v>
                </c:pt>
                <c:pt idx="3">
                  <c:v>25</c:v>
                </c:pt>
                <c:pt idx="4">
                  <c:v>30</c:v>
                </c:pt>
                <c:pt idx="5">
                  <c:v>35</c:v>
                </c:pt>
                <c:pt idx="6">
                  <c:v>40</c:v>
                </c:pt>
              </c:numCache>
            </c:numRef>
          </c:xVal>
          <c:yVal>
            <c:numRef>
              <c:f>'1. LOBF Estimator'!$D$25:$J$25</c:f>
              <c:numCache>
                <c:formatCode>_(* #,##0_);_(* \(#,##0\);_(* "-"??_);_(@_)</c:formatCode>
                <c:ptCount val="7"/>
                <c:pt idx="0">
                  <c:v>29390.279275952154</c:v>
                </c:pt>
                <c:pt idx="1">
                  <c:v>21197.770440181615</c:v>
                </c:pt>
                <c:pt idx="2">
                  <c:v>15385.092916705857</c:v>
                </c:pt>
                <c:pt idx="3">
                  <c:v>10876.429953531217</c:v>
                </c:pt>
                <c:pt idx="4">
                  <c:v>7192.5840809353103</c:v>
                </c:pt>
                <c:pt idx="5">
                  <c:v>4077.9367752343387</c:v>
                </c:pt>
                <c:pt idx="6">
                  <c:v>1379.9065574595443</c:v>
                </c:pt>
              </c:numCache>
            </c:numRef>
          </c:yVal>
          <c:smooth val="1"/>
          <c:extLst>
            <c:ext xmlns:c16="http://schemas.microsoft.com/office/drawing/2014/chart" uri="{C3380CC4-5D6E-409C-BE32-E72D297353CC}">
              <c16:uniqueId val="{00000004-44CA-F44B-A6E5-24F6358BD620}"/>
            </c:ext>
          </c:extLst>
        </c:ser>
        <c:dLbls>
          <c:showLegendKey val="0"/>
          <c:showVal val="0"/>
          <c:showCatName val="0"/>
          <c:showSerName val="0"/>
          <c:showPercent val="0"/>
          <c:showBubbleSize val="0"/>
        </c:dLbls>
        <c:axId val="1180880720"/>
        <c:axId val="348220384"/>
      </c:scatterChart>
      <c:valAx>
        <c:axId val="1180880720"/>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348220384"/>
        <c:crosses val="autoZero"/>
        <c:crossBetween val="midCat"/>
      </c:valAx>
      <c:valAx>
        <c:axId val="348220384"/>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180880720"/>
        <c:crosses val="autoZero"/>
        <c:crossBetween val="midCat"/>
      </c:valAx>
      <c:spPr>
        <a:noFill/>
        <a:ln>
          <a:noFill/>
        </a:ln>
        <a:effectLst/>
      </c:spPr>
    </c:plotArea>
    <c:legend>
      <c:legendPos val="r"/>
      <c:layout>
        <c:manualLayout>
          <c:xMode val="edge"/>
          <c:yMode val="edge"/>
          <c:x val="0.89100905699857436"/>
          <c:y val="0.43356702033867389"/>
          <c:w val="8.7034644985486243E-2"/>
          <c:h val="0.18606086401361993"/>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200">
          <a:solidFill>
            <a:schemeClr val="tx1"/>
          </a:solidFil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defRPr/>
            </a:pPr>
            <a:r>
              <a:rPr lang="en-GB"/>
              <a:t>Revenue </a:t>
            </a:r>
            <a:r>
              <a:rPr lang="en-GB" baseline="0"/>
              <a:t>x Demand</a:t>
            </a:r>
            <a:endParaRPr lang="en-GB"/>
          </a:p>
        </c:rich>
      </c:tx>
      <c:overlay val="0"/>
      <c:spPr>
        <a:noFill/>
        <a:ln>
          <a:noFill/>
        </a:ln>
        <a:effectLst/>
      </c:spPr>
    </c:title>
    <c:autoTitleDeleted val="0"/>
    <c:plotArea>
      <c:layout/>
      <c:scatterChart>
        <c:scatterStyle val="smoothMarker"/>
        <c:varyColors val="0"/>
        <c:ser>
          <c:idx val="0"/>
          <c:order val="0"/>
          <c:xVal>
            <c:numRef>
              <c:f>'2a. Linear LOBF'!$D$4:$J$4</c:f>
              <c:numCache>
                <c:formatCode>_(* #,##0_);_(* \(#,##0\);_(* "-"??_);_(@_)</c:formatCode>
                <c:ptCount val="7"/>
                <c:pt idx="0">
                  <c:v>26017.857142857138</c:v>
                </c:pt>
                <c:pt idx="1">
                  <c:v>21607.142857142855</c:v>
                </c:pt>
                <c:pt idx="2">
                  <c:v>17196.428571428569</c:v>
                </c:pt>
                <c:pt idx="3">
                  <c:v>12785.714285714286</c:v>
                </c:pt>
                <c:pt idx="4">
                  <c:v>8375</c:v>
                </c:pt>
                <c:pt idx="5">
                  <c:v>3964.2857142857138</c:v>
                </c:pt>
                <c:pt idx="6">
                  <c:v>0</c:v>
                </c:pt>
              </c:numCache>
            </c:numRef>
          </c:xVal>
          <c:yVal>
            <c:numRef>
              <c:f>'2a. Linear LOBF'!$D$5:$J$5</c:f>
              <c:numCache>
                <c:formatCode>_("$"* #,##0.00_);_("$"* \(#,##0.00\);_("$"* "-"??_);_(@_)</c:formatCode>
                <c:ptCount val="7"/>
                <c:pt idx="0">
                  <c:v>260178.57142857136</c:v>
                </c:pt>
                <c:pt idx="1">
                  <c:v>324107.14285714284</c:v>
                </c:pt>
                <c:pt idx="2">
                  <c:v>343928.57142857136</c:v>
                </c:pt>
                <c:pt idx="3">
                  <c:v>319642.85714285716</c:v>
                </c:pt>
                <c:pt idx="4">
                  <c:v>251250</c:v>
                </c:pt>
                <c:pt idx="5">
                  <c:v>138749.99999999997</c:v>
                </c:pt>
                <c:pt idx="6">
                  <c:v>0</c:v>
                </c:pt>
              </c:numCache>
            </c:numRef>
          </c:yVal>
          <c:smooth val="1"/>
          <c:extLst>
            <c:ext xmlns:c16="http://schemas.microsoft.com/office/drawing/2014/chart" uri="{C3380CC4-5D6E-409C-BE32-E72D297353CC}">
              <c16:uniqueId val="{00000000-36D2-1248-A752-71EA909D3CB1}"/>
            </c:ext>
          </c:extLst>
        </c:ser>
        <c:dLbls>
          <c:showLegendKey val="0"/>
          <c:showVal val="0"/>
          <c:showCatName val="0"/>
          <c:showSerName val="0"/>
          <c:showPercent val="0"/>
          <c:showBubbleSize val="0"/>
        </c:dLbls>
        <c:axId val="1723990848"/>
        <c:axId val="1723992496"/>
      </c:scatterChart>
      <c:valAx>
        <c:axId val="1723990848"/>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vert="horz"/>
          <a:lstStyle/>
          <a:p>
            <a:pPr>
              <a:defRPr/>
            </a:pPr>
            <a:endParaRPr lang="en-US"/>
          </a:p>
        </c:txPr>
        <c:crossAx val="1723992496"/>
        <c:crosses val="autoZero"/>
        <c:crossBetween val="midCat"/>
      </c:valAx>
      <c:valAx>
        <c:axId val="172399249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vert="horz"/>
          <a:lstStyle/>
          <a:p>
            <a:pPr>
              <a:defRPr/>
            </a:pPr>
            <a:endParaRPr lang="en-US"/>
          </a:p>
        </c:txPr>
        <c:crossAx val="1723990848"/>
        <c:crosses val="autoZero"/>
        <c:crossBetween val="midCat"/>
      </c:valAx>
    </c:plotArea>
    <c:plotVisOnly val="1"/>
    <c:dispBlanksAs val="gap"/>
    <c:showDLblsOverMax val="0"/>
    <c:extLst/>
  </c:chart>
  <c:txPr>
    <a:bodyPr/>
    <a:lstStyle/>
    <a:p>
      <a:pPr>
        <a:defRPr sz="1200"/>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defRPr/>
            </a:pPr>
            <a:r>
              <a:rPr lang="en-GB"/>
              <a:t>Price x Demand</a:t>
            </a:r>
          </a:p>
        </c:rich>
      </c:tx>
      <c:overlay val="0"/>
      <c:spPr>
        <a:noFill/>
        <a:ln>
          <a:noFill/>
        </a:ln>
        <a:effectLst/>
      </c:spPr>
    </c:title>
    <c:autoTitleDeleted val="0"/>
    <c:plotArea>
      <c:layout/>
      <c:scatterChart>
        <c:scatterStyle val="smoothMarker"/>
        <c:varyColors val="0"/>
        <c:ser>
          <c:idx val="0"/>
          <c:order val="0"/>
          <c:xVal>
            <c:numRef>
              <c:f>'2a. Linear LOBF'!$D$4:$J$4</c:f>
              <c:numCache>
                <c:formatCode>_(* #,##0_);_(* \(#,##0\);_(* "-"??_);_(@_)</c:formatCode>
                <c:ptCount val="7"/>
                <c:pt idx="0">
                  <c:v>26017.857142857138</c:v>
                </c:pt>
                <c:pt idx="1">
                  <c:v>21607.142857142855</c:v>
                </c:pt>
                <c:pt idx="2">
                  <c:v>17196.428571428569</c:v>
                </c:pt>
                <c:pt idx="3">
                  <c:v>12785.714285714286</c:v>
                </c:pt>
                <c:pt idx="4">
                  <c:v>8375</c:v>
                </c:pt>
                <c:pt idx="5">
                  <c:v>3964.2857142857138</c:v>
                </c:pt>
                <c:pt idx="6">
                  <c:v>0</c:v>
                </c:pt>
              </c:numCache>
            </c:numRef>
          </c:xVal>
          <c:yVal>
            <c:numRef>
              <c:f>'2a. Linear LOBF'!$D$3:$J$3</c:f>
              <c:numCache>
                <c:formatCode>_("$"* #,##0.00_);_("$"* \(#,##0.00\);_("$"* "-"??_);_(@_)</c:formatCode>
                <c:ptCount val="7"/>
                <c:pt idx="0">
                  <c:v>10</c:v>
                </c:pt>
                <c:pt idx="1">
                  <c:v>15</c:v>
                </c:pt>
                <c:pt idx="2">
                  <c:v>20</c:v>
                </c:pt>
                <c:pt idx="3">
                  <c:v>25</c:v>
                </c:pt>
                <c:pt idx="4">
                  <c:v>30</c:v>
                </c:pt>
                <c:pt idx="5">
                  <c:v>35</c:v>
                </c:pt>
                <c:pt idx="6">
                  <c:v>40</c:v>
                </c:pt>
              </c:numCache>
            </c:numRef>
          </c:yVal>
          <c:smooth val="1"/>
          <c:extLst>
            <c:ext xmlns:c16="http://schemas.microsoft.com/office/drawing/2014/chart" uri="{C3380CC4-5D6E-409C-BE32-E72D297353CC}">
              <c16:uniqueId val="{00000000-8072-C544-9B97-EA650AF57DD4}"/>
            </c:ext>
          </c:extLst>
        </c:ser>
        <c:dLbls>
          <c:showLegendKey val="0"/>
          <c:showVal val="0"/>
          <c:showCatName val="0"/>
          <c:showSerName val="0"/>
          <c:showPercent val="0"/>
          <c:showBubbleSize val="0"/>
        </c:dLbls>
        <c:axId val="1723990848"/>
        <c:axId val="1723992496"/>
      </c:scatterChart>
      <c:valAx>
        <c:axId val="1723990848"/>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vert="horz"/>
          <a:lstStyle/>
          <a:p>
            <a:pPr>
              <a:defRPr/>
            </a:pPr>
            <a:endParaRPr lang="en-US"/>
          </a:p>
        </c:txPr>
        <c:crossAx val="1723992496"/>
        <c:crosses val="autoZero"/>
        <c:crossBetween val="midCat"/>
      </c:valAx>
      <c:valAx>
        <c:axId val="172399249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vert="horz"/>
          <a:lstStyle/>
          <a:p>
            <a:pPr>
              <a:defRPr/>
            </a:pPr>
            <a:endParaRPr lang="en-US"/>
          </a:p>
        </c:txPr>
        <c:crossAx val="1723990848"/>
        <c:crosses val="autoZero"/>
        <c:crossBetween val="midCat"/>
      </c:valAx>
    </c:plotArea>
    <c:plotVisOnly val="1"/>
    <c:dispBlanksAs val="gap"/>
    <c:showDLblsOverMax val="0"/>
    <c:extLst/>
  </c:chart>
  <c:txPr>
    <a:bodyPr/>
    <a:lstStyle/>
    <a:p>
      <a:pPr>
        <a:defRPr sz="1200"/>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defRPr/>
            </a:pPr>
            <a:r>
              <a:rPr lang="en-GB"/>
              <a:t>Revenue</a:t>
            </a:r>
            <a:r>
              <a:rPr lang="en-GB" baseline="0"/>
              <a:t> x Demand</a:t>
            </a:r>
            <a:endParaRPr lang="en-GB"/>
          </a:p>
        </c:rich>
      </c:tx>
      <c:overlay val="0"/>
      <c:spPr>
        <a:noFill/>
        <a:ln>
          <a:noFill/>
        </a:ln>
        <a:effectLst/>
      </c:spPr>
    </c:title>
    <c:autoTitleDeleted val="0"/>
    <c:plotArea>
      <c:layout/>
      <c:scatterChart>
        <c:scatterStyle val="smoothMarker"/>
        <c:varyColors val="0"/>
        <c:ser>
          <c:idx val="0"/>
          <c:order val="0"/>
          <c:xVal>
            <c:numRef>
              <c:f>'2b. Exponential LOBF'!$D$4:$J$4</c:f>
              <c:numCache>
                <c:formatCode>_(* #,##0_);_(* \(#,##0\);_(* "-"??_);_(@_)</c:formatCode>
                <c:ptCount val="7"/>
                <c:pt idx="0">
                  <c:v>30756.964671838243</c:v>
                </c:pt>
                <c:pt idx="1">
                  <c:v>20894.478620728689</c:v>
                </c:pt>
                <c:pt idx="2">
                  <c:v>14194.483801967295</c:v>
                </c:pt>
                <c:pt idx="3">
                  <c:v>9642.900120246466</c:v>
                </c:pt>
                <c:pt idx="4">
                  <c:v>6550.8210109170677</c:v>
                </c:pt>
                <c:pt idx="5">
                  <c:v>4450.2437422296634</c:v>
                </c:pt>
                <c:pt idx="6">
                  <c:v>3023.2346956586694</c:v>
                </c:pt>
              </c:numCache>
            </c:numRef>
          </c:xVal>
          <c:yVal>
            <c:numRef>
              <c:f>'2b. Exponential LOBF'!$D$5:$J$5</c:f>
              <c:numCache>
                <c:formatCode>_("$"* #,##0.00_);_("$"* \(#,##0.00\);_("$"* "-"??_);_(@_)</c:formatCode>
                <c:ptCount val="7"/>
                <c:pt idx="0">
                  <c:v>307569.64671838243</c:v>
                </c:pt>
                <c:pt idx="1">
                  <c:v>313417.17931093031</c:v>
                </c:pt>
                <c:pt idx="2">
                  <c:v>283889.67603934591</c:v>
                </c:pt>
                <c:pt idx="3">
                  <c:v>241072.50300616166</c:v>
                </c:pt>
                <c:pt idx="4">
                  <c:v>196524.63032751204</c:v>
                </c:pt>
                <c:pt idx="5">
                  <c:v>155758.53097803821</c:v>
                </c:pt>
                <c:pt idx="6">
                  <c:v>120929.38782634678</c:v>
                </c:pt>
              </c:numCache>
            </c:numRef>
          </c:yVal>
          <c:smooth val="1"/>
          <c:extLst>
            <c:ext xmlns:c16="http://schemas.microsoft.com/office/drawing/2014/chart" uri="{C3380CC4-5D6E-409C-BE32-E72D297353CC}">
              <c16:uniqueId val="{00000000-D6A6-A940-9414-E027E8B34A99}"/>
            </c:ext>
          </c:extLst>
        </c:ser>
        <c:dLbls>
          <c:showLegendKey val="0"/>
          <c:showVal val="0"/>
          <c:showCatName val="0"/>
          <c:showSerName val="0"/>
          <c:showPercent val="0"/>
          <c:showBubbleSize val="0"/>
        </c:dLbls>
        <c:axId val="1723990848"/>
        <c:axId val="1723992496"/>
      </c:scatterChart>
      <c:valAx>
        <c:axId val="1723990848"/>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vert="horz"/>
          <a:lstStyle/>
          <a:p>
            <a:pPr>
              <a:defRPr/>
            </a:pPr>
            <a:endParaRPr lang="en-US"/>
          </a:p>
        </c:txPr>
        <c:crossAx val="1723992496"/>
        <c:crosses val="autoZero"/>
        <c:crossBetween val="midCat"/>
      </c:valAx>
      <c:valAx>
        <c:axId val="172399249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vert="horz"/>
          <a:lstStyle/>
          <a:p>
            <a:pPr>
              <a:defRPr/>
            </a:pPr>
            <a:endParaRPr lang="en-US"/>
          </a:p>
        </c:txPr>
        <c:crossAx val="1723990848"/>
        <c:crosses val="autoZero"/>
        <c:crossBetween val="midCat"/>
      </c:valAx>
    </c:plotArea>
    <c:plotVisOnly val="1"/>
    <c:dispBlanksAs val="gap"/>
    <c:showDLblsOverMax val="0"/>
    <c:extLst/>
  </c:chart>
  <c:txPr>
    <a:bodyPr/>
    <a:lstStyle/>
    <a:p>
      <a:pPr>
        <a:defRPr sz="1200"/>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defRPr/>
            </a:pPr>
            <a:r>
              <a:rPr lang="en-GB"/>
              <a:t>Price x Demand</a:t>
            </a:r>
          </a:p>
        </c:rich>
      </c:tx>
      <c:overlay val="0"/>
      <c:spPr>
        <a:noFill/>
        <a:ln>
          <a:noFill/>
        </a:ln>
        <a:effectLst/>
      </c:spPr>
    </c:title>
    <c:autoTitleDeleted val="0"/>
    <c:plotArea>
      <c:layout/>
      <c:scatterChart>
        <c:scatterStyle val="smoothMarker"/>
        <c:varyColors val="0"/>
        <c:ser>
          <c:idx val="0"/>
          <c:order val="0"/>
          <c:xVal>
            <c:numRef>
              <c:f>'2b. Exponential LOBF'!$D$4:$J$4</c:f>
              <c:numCache>
                <c:formatCode>_(* #,##0_);_(* \(#,##0\);_(* "-"??_);_(@_)</c:formatCode>
                <c:ptCount val="7"/>
                <c:pt idx="0">
                  <c:v>30756.964671838243</c:v>
                </c:pt>
                <c:pt idx="1">
                  <c:v>20894.478620728689</c:v>
                </c:pt>
                <c:pt idx="2">
                  <c:v>14194.483801967295</c:v>
                </c:pt>
                <c:pt idx="3">
                  <c:v>9642.900120246466</c:v>
                </c:pt>
                <c:pt idx="4">
                  <c:v>6550.8210109170677</c:v>
                </c:pt>
                <c:pt idx="5">
                  <c:v>4450.2437422296634</c:v>
                </c:pt>
                <c:pt idx="6">
                  <c:v>3023.2346956586694</c:v>
                </c:pt>
              </c:numCache>
            </c:numRef>
          </c:xVal>
          <c:yVal>
            <c:numRef>
              <c:f>'2b. Exponential LOBF'!$D$3:$J$3</c:f>
              <c:numCache>
                <c:formatCode>_("$"* #,##0.00_);_("$"* \(#,##0.00\);_("$"* "-"??_);_(@_)</c:formatCode>
                <c:ptCount val="7"/>
                <c:pt idx="0">
                  <c:v>10</c:v>
                </c:pt>
                <c:pt idx="1">
                  <c:v>15</c:v>
                </c:pt>
                <c:pt idx="2">
                  <c:v>20</c:v>
                </c:pt>
                <c:pt idx="3">
                  <c:v>25</c:v>
                </c:pt>
                <c:pt idx="4">
                  <c:v>30</c:v>
                </c:pt>
                <c:pt idx="5">
                  <c:v>35</c:v>
                </c:pt>
                <c:pt idx="6">
                  <c:v>40</c:v>
                </c:pt>
              </c:numCache>
            </c:numRef>
          </c:yVal>
          <c:smooth val="1"/>
          <c:extLst>
            <c:ext xmlns:c16="http://schemas.microsoft.com/office/drawing/2014/chart" uri="{C3380CC4-5D6E-409C-BE32-E72D297353CC}">
              <c16:uniqueId val="{00000001-65FA-ED4F-AD20-7C30D12FD466}"/>
            </c:ext>
          </c:extLst>
        </c:ser>
        <c:dLbls>
          <c:showLegendKey val="0"/>
          <c:showVal val="0"/>
          <c:showCatName val="0"/>
          <c:showSerName val="0"/>
          <c:showPercent val="0"/>
          <c:showBubbleSize val="0"/>
        </c:dLbls>
        <c:axId val="1723990848"/>
        <c:axId val="1723992496"/>
      </c:scatterChart>
      <c:valAx>
        <c:axId val="1723990848"/>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vert="horz"/>
          <a:lstStyle/>
          <a:p>
            <a:pPr>
              <a:defRPr/>
            </a:pPr>
            <a:endParaRPr lang="en-US"/>
          </a:p>
        </c:txPr>
        <c:crossAx val="1723992496"/>
        <c:crosses val="autoZero"/>
        <c:crossBetween val="midCat"/>
      </c:valAx>
      <c:valAx>
        <c:axId val="172399249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vert="horz"/>
          <a:lstStyle/>
          <a:p>
            <a:pPr>
              <a:defRPr/>
            </a:pPr>
            <a:endParaRPr lang="en-US"/>
          </a:p>
        </c:txPr>
        <c:crossAx val="1723990848"/>
        <c:crosses val="autoZero"/>
        <c:crossBetween val="midCat"/>
      </c:valAx>
    </c:plotArea>
    <c:plotVisOnly val="1"/>
    <c:dispBlanksAs val="gap"/>
    <c:showDLblsOverMax val="0"/>
    <c:extLst/>
  </c:chart>
  <c:txPr>
    <a:bodyPr/>
    <a:lstStyle/>
    <a:p>
      <a:pPr>
        <a:defRPr sz="1200"/>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defRPr/>
            </a:pPr>
            <a:r>
              <a:rPr lang="en-GB"/>
              <a:t>Revenue </a:t>
            </a:r>
            <a:r>
              <a:rPr lang="en-GB" baseline="0"/>
              <a:t>x Demand</a:t>
            </a:r>
            <a:endParaRPr lang="en-GB"/>
          </a:p>
        </c:rich>
      </c:tx>
      <c:overlay val="0"/>
      <c:spPr>
        <a:noFill/>
        <a:ln>
          <a:noFill/>
        </a:ln>
        <a:effectLst/>
      </c:spPr>
    </c:title>
    <c:autoTitleDeleted val="0"/>
    <c:plotArea>
      <c:layout/>
      <c:scatterChart>
        <c:scatterStyle val="smoothMarker"/>
        <c:varyColors val="0"/>
        <c:ser>
          <c:idx val="0"/>
          <c:order val="0"/>
          <c:xVal>
            <c:numRef>
              <c:f>'2c. Power LOBF'!$D$4:$J$4</c:f>
              <c:numCache>
                <c:formatCode>_(* #,##0_);_(* \(#,##0\);_(* "-"??_);_(@_)</c:formatCode>
                <c:ptCount val="7"/>
                <c:pt idx="0">
                  <c:v>37787.592874883405</c:v>
                </c:pt>
                <c:pt idx="1">
                  <c:v>19261.927252439702</c:v>
                </c:pt>
                <c:pt idx="2">
                  <c:v>11941.575292407944</c:v>
                </c:pt>
                <c:pt idx="3">
                  <c:v>8241.4757527183665</c:v>
                </c:pt>
                <c:pt idx="4">
                  <c:v>6087.1237637044824</c:v>
                </c:pt>
                <c:pt idx="5">
                  <c:v>4711.4215036776286</c:v>
                </c:pt>
                <c:pt idx="6">
                  <c:v>3773.7577235048443</c:v>
                </c:pt>
              </c:numCache>
            </c:numRef>
          </c:xVal>
          <c:yVal>
            <c:numRef>
              <c:f>'2c. Power LOBF'!$D$5:$J$5</c:f>
              <c:numCache>
                <c:formatCode>_("$"* #,##0.00_);_("$"* \(#,##0.00\);_("$"* "-"??_);_(@_)</c:formatCode>
                <c:ptCount val="7"/>
                <c:pt idx="0">
                  <c:v>377875.92874883406</c:v>
                </c:pt>
                <c:pt idx="1">
                  <c:v>288928.90878659551</c:v>
                </c:pt>
                <c:pt idx="2">
                  <c:v>238831.50584815888</c:v>
                </c:pt>
                <c:pt idx="3">
                  <c:v>206036.89381795915</c:v>
                </c:pt>
                <c:pt idx="4">
                  <c:v>182613.71291113447</c:v>
                </c:pt>
                <c:pt idx="5">
                  <c:v>164899.75262871699</c:v>
                </c:pt>
                <c:pt idx="6">
                  <c:v>150950.30894019376</c:v>
                </c:pt>
              </c:numCache>
            </c:numRef>
          </c:yVal>
          <c:smooth val="1"/>
          <c:extLst>
            <c:ext xmlns:c16="http://schemas.microsoft.com/office/drawing/2014/chart" uri="{C3380CC4-5D6E-409C-BE32-E72D297353CC}">
              <c16:uniqueId val="{00000005-46E8-B34D-B68A-653AD5E1B70B}"/>
            </c:ext>
          </c:extLst>
        </c:ser>
        <c:dLbls>
          <c:showLegendKey val="0"/>
          <c:showVal val="0"/>
          <c:showCatName val="0"/>
          <c:showSerName val="0"/>
          <c:showPercent val="0"/>
          <c:showBubbleSize val="0"/>
        </c:dLbls>
        <c:axId val="1723990848"/>
        <c:axId val="1723992496"/>
      </c:scatterChart>
      <c:valAx>
        <c:axId val="1723990848"/>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vert="horz"/>
          <a:lstStyle/>
          <a:p>
            <a:pPr>
              <a:defRPr/>
            </a:pPr>
            <a:endParaRPr lang="en-US"/>
          </a:p>
        </c:txPr>
        <c:crossAx val="1723992496"/>
        <c:crosses val="autoZero"/>
        <c:crossBetween val="midCat"/>
      </c:valAx>
      <c:valAx>
        <c:axId val="172399249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vert="horz"/>
          <a:lstStyle/>
          <a:p>
            <a:pPr>
              <a:defRPr/>
            </a:pPr>
            <a:endParaRPr lang="en-US"/>
          </a:p>
        </c:txPr>
        <c:crossAx val="1723990848"/>
        <c:crosses val="autoZero"/>
        <c:crossBetween val="midCat"/>
      </c:valAx>
    </c:plotArea>
    <c:plotVisOnly val="1"/>
    <c:dispBlanksAs val="gap"/>
    <c:showDLblsOverMax val="0"/>
    <c:extLst/>
  </c:chart>
  <c:txPr>
    <a:bodyPr/>
    <a:lstStyle/>
    <a:p>
      <a:pPr>
        <a:defRPr sz="1200"/>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defRPr/>
            </a:pPr>
            <a:r>
              <a:rPr lang="en-GB"/>
              <a:t>Price x Demand</a:t>
            </a:r>
          </a:p>
        </c:rich>
      </c:tx>
      <c:overlay val="0"/>
      <c:spPr>
        <a:noFill/>
        <a:ln>
          <a:noFill/>
        </a:ln>
        <a:effectLst/>
      </c:spPr>
    </c:title>
    <c:autoTitleDeleted val="0"/>
    <c:plotArea>
      <c:layout/>
      <c:scatterChart>
        <c:scatterStyle val="smoothMarker"/>
        <c:varyColors val="0"/>
        <c:ser>
          <c:idx val="0"/>
          <c:order val="0"/>
          <c:xVal>
            <c:numRef>
              <c:f>'2c. Power LOBF'!$D$4:$J$4</c:f>
              <c:numCache>
                <c:formatCode>_(* #,##0_);_(* \(#,##0\);_(* "-"??_);_(@_)</c:formatCode>
                <c:ptCount val="7"/>
                <c:pt idx="0">
                  <c:v>37787.592874883405</c:v>
                </c:pt>
                <c:pt idx="1">
                  <c:v>19261.927252439702</c:v>
                </c:pt>
                <c:pt idx="2">
                  <c:v>11941.575292407944</c:v>
                </c:pt>
                <c:pt idx="3">
                  <c:v>8241.4757527183665</c:v>
                </c:pt>
                <c:pt idx="4">
                  <c:v>6087.1237637044824</c:v>
                </c:pt>
                <c:pt idx="5">
                  <c:v>4711.4215036776286</c:v>
                </c:pt>
                <c:pt idx="6">
                  <c:v>3773.7577235048443</c:v>
                </c:pt>
              </c:numCache>
            </c:numRef>
          </c:xVal>
          <c:yVal>
            <c:numRef>
              <c:f>'2c. Power LOBF'!$D$3:$J$3</c:f>
              <c:numCache>
                <c:formatCode>_("$"* #,##0.00_);_("$"* \(#,##0.00\);_("$"* "-"??_);_(@_)</c:formatCode>
                <c:ptCount val="7"/>
                <c:pt idx="0">
                  <c:v>10</c:v>
                </c:pt>
                <c:pt idx="1">
                  <c:v>15</c:v>
                </c:pt>
                <c:pt idx="2">
                  <c:v>20</c:v>
                </c:pt>
                <c:pt idx="3">
                  <c:v>25</c:v>
                </c:pt>
                <c:pt idx="4">
                  <c:v>30</c:v>
                </c:pt>
                <c:pt idx="5">
                  <c:v>35</c:v>
                </c:pt>
                <c:pt idx="6">
                  <c:v>40</c:v>
                </c:pt>
              </c:numCache>
            </c:numRef>
          </c:yVal>
          <c:smooth val="1"/>
          <c:extLst>
            <c:ext xmlns:c16="http://schemas.microsoft.com/office/drawing/2014/chart" uri="{C3380CC4-5D6E-409C-BE32-E72D297353CC}">
              <c16:uniqueId val="{00000001-2DE6-3F44-A543-07CB7435B1E9}"/>
            </c:ext>
          </c:extLst>
        </c:ser>
        <c:dLbls>
          <c:showLegendKey val="0"/>
          <c:showVal val="0"/>
          <c:showCatName val="0"/>
          <c:showSerName val="0"/>
          <c:showPercent val="0"/>
          <c:showBubbleSize val="0"/>
        </c:dLbls>
        <c:axId val="1723990848"/>
        <c:axId val="1723992496"/>
      </c:scatterChart>
      <c:valAx>
        <c:axId val="1723990848"/>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vert="horz"/>
          <a:lstStyle/>
          <a:p>
            <a:pPr>
              <a:defRPr/>
            </a:pPr>
            <a:endParaRPr lang="en-US"/>
          </a:p>
        </c:txPr>
        <c:crossAx val="1723992496"/>
        <c:crosses val="autoZero"/>
        <c:crossBetween val="midCat"/>
      </c:valAx>
      <c:valAx>
        <c:axId val="172399249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vert="horz"/>
          <a:lstStyle/>
          <a:p>
            <a:pPr>
              <a:defRPr/>
            </a:pPr>
            <a:endParaRPr lang="en-US"/>
          </a:p>
        </c:txPr>
        <c:crossAx val="1723990848"/>
        <c:crosses val="autoZero"/>
        <c:crossBetween val="midCat"/>
      </c:valAx>
    </c:plotArea>
    <c:plotVisOnly val="1"/>
    <c:dispBlanksAs val="gap"/>
    <c:showDLblsOverMax val="0"/>
    <c:extLst/>
  </c:chart>
  <c:txPr>
    <a:bodyPr/>
    <a:lstStyle/>
    <a:p>
      <a:pPr>
        <a:defRPr sz="1200"/>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defRPr/>
            </a:pPr>
            <a:r>
              <a:rPr lang="en-GB"/>
              <a:t>Gross Profit</a:t>
            </a:r>
            <a:r>
              <a:rPr lang="en-GB" baseline="0"/>
              <a:t> x Demand</a:t>
            </a:r>
            <a:endParaRPr lang="en-GB"/>
          </a:p>
        </c:rich>
      </c:tx>
      <c:overlay val="0"/>
      <c:spPr>
        <a:noFill/>
        <a:ln>
          <a:noFill/>
        </a:ln>
        <a:effectLst/>
      </c:spPr>
    </c:title>
    <c:autoTitleDeleted val="0"/>
    <c:plotArea>
      <c:layout/>
      <c:scatterChart>
        <c:scatterStyle val="smoothMarker"/>
        <c:varyColors val="0"/>
        <c:ser>
          <c:idx val="0"/>
          <c:order val="0"/>
          <c:xVal>
            <c:numRef>
              <c:f>'2d. Logarithmic LOBF'!$D$4:$J$4</c:f>
              <c:numCache>
                <c:formatCode>_(* #,##0_);_(* \(#,##0\);_(* "-"??_);_(@_)</c:formatCode>
                <c:ptCount val="7"/>
                <c:pt idx="0">
                  <c:v>29390.279275952154</c:v>
                </c:pt>
                <c:pt idx="1">
                  <c:v>21197.770440181615</c:v>
                </c:pt>
                <c:pt idx="2">
                  <c:v>15385.092916705857</c:v>
                </c:pt>
                <c:pt idx="3">
                  <c:v>10876.429953531217</c:v>
                </c:pt>
                <c:pt idx="4">
                  <c:v>7192.5840809353103</c:v>
                </c:pt>
                <c:pt idx="5">
                  <c:v>4077.9367752343387</c:v>
                </c:pt>
                <c:pt idx="6">
                  <c:v>1379.9065574595443</c:v>
                </c:pt>
              </c:numCache>
            </c:numRef>
          </c:xVal>
          <c:yVal>
            <c:numRef>
              <c:f>'2d. Logarithmic LOBF'!$D$5:$J$5</c:f>
              <c:numCache>
                <c:formatCode>_("$"* #,##0.00_);_("$"* \(#,##0.00\);_("$"* "-"??_);_(@_)</c:formatCode>
                <c:ptCount val="7"/>
                <c:pt idx="0">
                  <c:v>293902.79275952152</c:v>
                </c:pt>
                <c:pt idx="1">
                  <c:v>317966.55660272425</c:v>
                </c:pt>
                <c:pt idx="2">
                  <c:v>307701.8583341171</c:v>
                </c:pt>
                <c:pt idx="3">
                  <c:v>271910.74883828044</c:v>
                </c:pt>
                <c:pt idx="4">
                  <c:v>215777.52242805931</c:v>
                </c:pt>
                <c:pt idx="5">
                  <c:v>142727.78713320184</c:v>
                </c:pt>
                <c:pt idx="6">
                  <c:v>55196.262298381771</c:v>
                </c:pt>
              </c:numCache>
            </c:numRef>
          </c:yVal>
          <c:smooth val="1"/>
          <c:extLst>
            <c:ext xmlns:c16="http://schemas.microsoft.com/office/drawing/2014/chart" uri="{C3380CC4-5D6E-409C-BE32-E72D297353CC}">
              <c16:uniqueId val="{00000000-A30E-464D-818D-4376F0EC68B1}"/>
            </c:ext>
          </c:extLst>
        </c:ser>
        <c:dLbls>
          <c:showLegendKey val="0"/>
          <c:showVal val="0"/>
          <c:showCatName val="0"/>
          <c:showSerName val="0"/>
          <c:showPercent val="0"/>
          <c:showBubbleSize val="0"/>
        </c:dLbls>
        <c:axId val="1723990848"/>
        <c:axId val="1723992496"/>
      </c:scatterChart>
      <c:valAx>
        <c:axId val="1723990848"/>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vert="horz"/>
          <a:lstStyle/>
          <a:p>
            <a:pPr>
              <a:defRPr/>
            </a:pPr>
            <a:endParaRPr lang="en-US"/>
          </a:p>
        </c:txPr>
        <c:crossAx val="1723992496"/>
        <c:crosses val="autoZero"/>
        <c:crossBetween val="midCat"/>
      </c:valAx>
      <c:valAx>
        <c:axId val="172399249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vert="horz"/>
          <a:lstStyle/>
          <a:p>
            <a:pPr>
              <a:defRPr/>
            </a:pPr>
            <a:endParaRPr lang="en-US"/>
          </a:p>
        </c:txPr>
        <c:crossAx val="1723990848"/>
        <c:crosses val="autoZero"/>
        <c:crossBetween val="midCat"/>
      </c:valAx>
    </c:plotArea>
    <c:plotVisOnly val="1"/>
    <c:dispBlanksAs val="gap"/>
    <c:showDLblsOverMax val="0"/>
    <c:extLst/>
  </c:chart>
  <c:txPr>
    <a:bodyPr/>
    <a:lstStyle/>
    <a:p>
      <a:pPr>
        <a:defRPr sz="1200"/>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defRPr/>
            </a:pPr>
            <a:r>
              <a:rPr lang="en-GB"/>
              <a:t>Price x Demand</a:t>
            </a:r>
          </a:p>
        </c:rich>
      </c:tx>
      <c:overlay val="0"/>
      <c:spPr>
        <a:noFill/>
        <a:ln>
          <a:noFill/>
        </a:ln>
        <a:effectLst/>
      </c:spPr>
    </c:title>
    <c:autoTitleDeleted val="0"/>
    <c:plotArea>
      <c:layout/>
      <c:scatterChart>
        <c:scatterStyle val="smoothMarker"/>
        <c:varyColors val="0"/>
        <c:ser>
          <c:idx val="0"/>
          <c:order val="0"/>
          <c:xVal>
            <c:numRef>
              <c:f>'2d. Logarithmic LOBF'!$D$4:$J$4</c:f>
              <c:numCache>
                <c:formatCode>_(* #,##0_);_(* \(#,##0\);_(* "-"??_);_(@_)</c:formatCode>
                <c:ptCount val="7"/>
                <c:pt idx="0">
                  <c:v>29390.279275952154</c:v>
                </c:pt>
                <c:pt idx="1">
                  <c:v>21197.770440181615</c:v>
                </c:pt>
                <c:pt idx="2">
                  <c:v>15385.092916705857</c:v>
                </c:pt>
                <c:pt idx="3">
                  <c:v>10876.429953531217</c:v>
                </c:pt>
                <c:pt idx="4">
                  <c:v>7192.5840809353103</c:v>
                </c:pt>
                <c:pt idx="5">
                  <c:v>4077.9367752343387</c:v>
                </c:pt>
                <c:pt idx="6">
                  <c:v>1379.9065574595443</c:v>
                </c:pt>
              </c:numCache>
            </c:numRef>
          </c:xVal>
          <c:yVal>
            <c:numRef>
              <c:f>'2d. Logarithmic LOBF'!$D$3:$J$3</c:f>
              <c:numCache>
                <c:formatCode>_("$"* #,##0.00_);_("$"* \(#,##0.00\);_("$"* "-"??_);_(@_)</c:formatCode>
                <c:ptCount val="7"/>
                <c:pt idx="0">
                  <c:v>10</c:v>
                </c:pt>
                <c:pt idx="1">
                  <c:v>15</c:v>
                </c:pt>
                <c:pt idx="2">
                  <c:v>20</c:v>
                </c:pt>
                <c:pt idx="3">
                  <c:v>25</c:v>
                </c:pt>
                <c:pt idx="4">
                  <c:v>30</c:v>
                </c:pt>
                <c:pt idx="5">
                  <c:v>35</c:v>
                </c:pt>
                <c:pt idx="6">
                  <c:v>40</c:v>
                </c:pt>
              </c:numCache>
            </c:numRef>
          </c:yVal>
          <c:smooth val="1"/>
          <c:extLst>
            <c:ext xmlns:c16="http://schemas.microsoft.com/office/drawing/2014/chart" uri="{C3380CC4-5D6E-409C-BE32-E72D297353CC}">
              <c16:uniqueId val="{00000000-8E03-0E49-9D56-46D237D04CE5}"/>
            </c:ext>
          </c:extLst>
        </c:ser>
        <c:dLbls>
          <c:showLegendKey val="0"/>
          <c:showVal val="0"/>
          <c:showCatName val="0"/>
          <c:showSerName val="0"/>
          <c:showPercent val="0"/>
          <c:showBubbleSize val="0"/>
        </c:dLbls>
        <c:axId val="1723990848"/>
        <c:axId val="1723992496"/>
      </c:scatterChart>
      <c:valAx>
        <c:axId val="1723990848"/>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vert="horz"/>
          <a:lstStyle/>
          <a:p>
            <a:pPr>
              <a:defRPr/>
            </a:pPr>
            <a:endParaRPr lang="en-US"/>
          </a:p>
        </c:txPr>
        <c:crossAx val="1723992496"/>
        <c:crosses val="autoZero"/>
        <c:crossBetween val="midCat"/>
      </c:valAx>
      <c:valAx>
        <c:axId val="172399249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vert="horz"/>
          <a:lstStyle/>
          <a:p>
            <a:pPr>
              <a:defRPr/>
            </a:pPr>
            <a:endParaRPr lang="en-US"/>
          </a:p>
        </c:txPr>
        <c:crossAx val="1723990848"/>
        <c:crosses val="autoZero"/>
        <c:crossBetween val="midCat"/>
      </c:valAx>
    </c:plotArea>
    <c:plotVisOnly val="1"/>
    <c:dispBlanksAs val="gap"/>
    <c:showDLblsOverMax val="0"/>
    <c:extLst/>
  </c:chart>
  <c:txPr>
    <a:bodyPr/>
    <a:lstStyle/>
    <a:p>
      <a:pPr>
        <a:defRPr sz="1200"/>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defRPr/>
            </a:pPr>
            <a:r>
              <a:rPr lang="en-GB"/>
              <a:t>Unit Cost</a:t>
            </a:r>
            <a:r>
              <a:rPr lang="en-GB" baseline="0"/>
              <a:t> </a:t>
            </a:r>
            <a:r>
              <a:rPr lang="en-GB"/>
              <a:t>x Demand</a:t>
            </a:r>
          </a:p>
        </c:rich>
      </c:tx>
      <c:overlay val="0"/>
      <c:spPr>
        <a:noFill/>
        <a:ln>
          <a:noFill/>
        </a:ln>
        <a:effectLst/>
      </c:spPr>
    </c:title>
    <c:autoTitleDeleted val="0"/>
    <c:plotArea>
      <c:layout/>
      <c:scatterChart>
        <c:scatterStyle val="smoothMarker"/>
        <c:varyColors val="0"/>
        <c:ser>
          <c:idx val="0"/>
          <c:order val="0"/>
          <c:xVal>
            <c:numRef>
              <c:f>'4. Breakeven Analysis'!$C$11:$I$11</c:f>
              <c:numCache>
                <c:formatCode>_(* #,##0_);_(* \(#,##0\);_(* "-"??_);_(@_)</c:formatCode>
                <c:ptCount val="7"/>
                <c:pt idx="0">
                  <c:v>30756.964671838243</c:v>
                </c:pt>
                <c:pt idx="1">
                  <c:v>20894.478620728689</c:v>
                </c:pt>
                <c:pt idx="2">
                  <c:v>14194.483801967295</c:v>
                </c:pt>
                <c:pt idx="3">
                  <c:v>9642.900120246466</c:v>
                </c:pt>
                <c:pt idx="4">
                  <c:v>6550.8210109170677</c:v>
                </c:pt>
                <c:pt idx="5">
                  <c:v>4450.2437422296634</c:v>
                </c:pt>
                <c:pt idx="6">
                  <c:v>3023.2346956586694</c:v>
                </c:pt>
              </c:numCache>
            </c:numRef>
          </c:xVal>
          <c:yVal>
            <c:numRef>
              <c:f>'4. Breakeven Analysis'!$C$14:$I$14</c:f>
              <c:numCache>
                <c:formatCode>_("$"* #,##0.00_);_("$"* \(#,##0.00\);_("$"* "-"??_);_(@_)</c:formatCode>
                <c:ptCount val="7"/>
                <c:pt idx="0">
                  <c:v>4.083290635172883</c:v>
                </c:pt>
                <c:pt idx="1">
                  <c:v>5.0194315449194322</c:v>
                </c:pt>
                <c:pt idx="2">
                  <c:v>6.3974440529880816</c:v>
                </c:pt>
                <c:pt idx="3">
                  <c:v>8.4258977319409265</c:v>
                </c:pt>
                <c:pt idx="4">
                  <c:v>11.411809908764464</c:v>
                </c:pt>
                <c:pt idx="5">
                  <c:v>15.807114381433353</c:v>
                </c:pt>
                <c:pt idx="6">
                  <c:v>22.27706401940786</c:v>
                </c:pt>
              </c:numCache>
            </c:numRef>
          </c:yVal>
          <c:smooth val="1"/>
          <c:extLst>
            <c:ext xmlns:c16="http://schemas.microsoft.com/office/drawing/2014/chart" uri="{C3380CC4-5D6E-409C-BE32-E72D297353CC}">
              <c16:uniqueId val="{00000000-16A5-044E-B0D4-6563E4EB411B}"/>
            </c:ext>
          </c:extLst>
        </c:ser>
        <c:dLbls>
          <c:showLegendKey val="0"/>
          <c:showVal val="0"/>
          <c:showCatName val="0"/>
          <c:showSerName val="0"/>
          <c:showPercent val="0"/>
          <c:showBubbleSize val="0"/>
        </c:dLbls>
        <c:axId val="1723990848"/>
        <c:axId val="1723992496"/>
      </c:scatterChart>
      <c:valAx>
        <c:axId val="1723990848"/>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vert="horz"/>
          <a:lstStyle/>
          <a:p>
            <a:pPr>
              <a:defRPr/>
            </a:pPr>
            <a:endParaRPr lang="en-US"/>
          </a:p>
        </c:txPr>
        <c:crossAx val="1723992496"/>
        <c:crosses val="autoZero"/>
        <c:crossBetween val="midCat"/>
      </c:valAx>
      <c:valAx>
        <c:axId val="172399249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vert="horz"/>
          <a:lstStyle/>
          <a:p>
            <a:pPr>
              <a:defRPr/>
            </a:pPr>
            <a:endParaRPr lang="en-US"/>
          </a:p>
        </c:txPr>
        <c:crossAx val="1723990848"/>
        <c:crosses val="autoZero"/>
        <c:crossBetween val="midCat"/>
      </c:valAx>
    </c:plotArea>
    <c:plotVisOnly val="1"/>
    <c:dispBlanksAs val="gap"/>
    <c:showDLblsOverMax val="0"/>
    <c:extLst/>
  </c:chart>
  <c:txPr>
    <a:bodyPr/>
    <a:lstStyle/>
    <a:p>
      <a:pPr>
        <a:defRPr sz="1200"/>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defRPr/>
            </a:pPr>
            <a:r>
              <a:rPr lang="en-GB"/>
              <a:t>Gross Profit</a:t>
            </a:r>
            <a:r>
              <a:rPr lang="en-GB" baseline="0"/>
              <a:t> </a:t>
            </a:r>
            <a:r>
              <a:rPr lang="en-GB"/>
              <a:t>x Demand</a:t>
            </a:r>
          </a:p>
        </c:rich>
      </c:tx>
      <c:overlay val="0"/>
      <c:spPr>
        <a:noFill/>
        <a:ln>
          <a:noFill/>
        </a:ln>
        <a:effectLst/>
      </c:spPr>
    </c:title>
    <c:autoTitleDeleted val="0"/>
    <c:plotArea>
      <c:layout/>
      <c:scatterChart>
        <c:scatterStyle val="smoothMarker"/>
        <c:varyColors val="0"/>
        <c:ser>
          <c:idx val="0"/>
          <c:order val="0"/>
          <c:xVal>
            <c:numRef>
              <c:f>'5. Gross Margin Analysis'!$C$5:$I$5</c:f>
              <c:numCache>
                <c:formatCode>_(* #,##0_);_(* \(#,##0\);_(* "-"??_);_(@_)</c:formatCode>
                <c:ptCount val="7"/>
                <c:pt idx="0">
                  <c:v>30756.964671838243</c:v>
                </c:pt>
                <c:pt idx="1">
                  <c:v>20894.478620728689</c:v>
                </c:pt>
                <c:pt idx="2">
                  <c:v>14194.483801967295</c:v>
                </c:pt>
                <c:pt idx="3">
                  <c:v>9642.900120246466</c:v>
                </c:pt>
                <c:pt idx="4">
                  <c:v>6550.8210109170677</c:v>
                </c:pt>
                <c:pt idx="5">
                  <c:v>4450.2437422296634</c:v>
                </c:pt>
                <c:pt idx="6">
                  <c:v>3023.2346956586694</c:v>
                </c:pt>
              </c:numCache>
            </c:numRef>
          </c:xVal>
          <c:yVal>
            <c:numRef>
              <c:f>'5. Gross Margin Analysis'!$C$11:$I$11</c:f>
              <c:numCache>
                <c:formatCode>_("$"* #,##0.00_);_("$"* \(#,##0.00\);_("$"* "-"??_);_(@_)</c:formatCode>
                <c:ptCount val="7"/>
                <c:pt idx="0">
                  <c:v>181980.02090752212</c:v>
                </c:pt>
                <c:pt idx="1">
                  <c:v>208538.77420740007</c:v>
                </c:pt>
                <c:pt idx="2">
                  <c:v>193081.26005521457</c:v>
                </c:pt>
                <c:pt idx="3">
                  <c:v>159822.41275364408</c:v>
                </c:pt>
                <c:pt idx="4">
                  <c:v>121767.90620458621</c:v>
                </c:pt>
                <c:pt idx="5">
                  <c:v>85413.019119355915</c:v>
                </c:pt>
                <c:pt idx="6">
                  <c:v>53580.594965463577</c:v>
                </c:pt>
              </c:numCache>
            </c:numRef>
          </c:yVal>
          <c:smooth val="1"/>
          <c:extLst>
            <c:ext xmlns:c16="http://schemas.microsoft.com/office/drawing/2014/chart" uri="{C3380CC4-5D6E-409C-BE32-E72D297353CC}">
              <c16:uniqueId val="{00000000-27FE-624D-A81B-40CB6905C1B5}"/>
            </c:ext>
          </c:extLst>
        </c:ser>
        <c:dLbls>
          <c:showLegendKey val="0"/>
          <c:showVal val="0"/>
          <c:showCatName val="0"/>
          <c:showSerName val="0"/>
          <c:showPercent val="0"/>
          <c:showBubbleSize val="0"/>
        </c:dLbls>
        <c:axId val="1723990848"/>
        <c:axId val="1723992496"/>
      </c:scatterChart>
      <c:valAx>
        <c:axId val="1723990848"/>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vert="horz"/>
          <a:lstStyle/>
          <a:p>
            <a:pPr>
              <a:defRPr/>
            </a:pPr>
            <a:endParaRPr lang="en-US"/>
          </a:p>
        </c:txPr>
        <c:crossAx val="1723992496"/>
        <c:crosses val="autoZero"/>
        <c:crossBetween val="midCat"/>
      </c:valAx>
      <c:valAx>
        <c:axId val="172399249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vert="horz"/>
          <a:lstStyle/>
          <a:p>
            <a:pPr>
              <a:defRPr/>
            </a:pPr>
            <a:endParaRPr lang="en-US"/>
          </a:p>
        </c:txPr>
        <c:crossAx val="1723990848"/>
        <c:crosses val="autoZero"/>
        <c:crossBetween val="midCat"/>
      </c:valAx>
    </c:plotArea>
    <c:plotVisOnly val="1"/>
    <c:dispBlanksAs val="gap"/>
    <c:showDLblsOverMax val="0"/>
    <c:extLst/>
  </c:chart>
  <c:txPr>
    <a:bodyPr/>
    <a:lstStyle/>
    <a:p>
      <a:pPr>
        <a:defRPr sz="1200"/>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chart" Target="../charts/chart5.xml"/><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chart" Target="../charts/chart7.xml"/><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chart" Target="../charts/chart9.xml"/><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editAs="oneCell">
    <xdr:from>
      <xdr:col>5</xdr:col>
      <xdr:colOff>368300</xdr:colOff>
      <xdr:row>10</xdr:row>
      <xdr:rowOff>46635</xdr:rowOff>
    </xdr:from>
    <xdr:to>
      <xdr:col>5</xdr:col>
      <xdr:colOff>7899400</xdr:colOff>
      <xdr:row>14</xdr:row>
      <xdr:rowOff>151696</xdr:rowOff>
    </xdr:to>
    <xdr:pic>
      <xdr:nvPicPr>
        <xdr:cNvPr id="3" name="Picture 2">
          <a:extLst>
            <a:ext uri="{FF2B5EF4-FFF2-40B4-BE49-F238E27FC236}">
              <a16:creationId xmlns:a16="http://schemas.microsoft.com/office/drawing/2014/main" id="{88AF977C-E00B-85F3-96C3-3D4041980039}"/>
            </a:ext>
          </a:extLst>
        </xdr:cNvPr>
        <xdr:cNvPicPr>
          <a:picLocks noChangeAspect="1"/>
        </xdr:cNvPicPr>
      </xdr:nvPicPr>
      <xdr:blipFill>
        <a:blip xmlns:r="http://schemas.openxmlformats.org/officeDocument/2006/relationships" r:embed="rId1"/>
        <a:stretch>
          <a:fillRect/>
        </a:stretch>
      </xdr:blipFill>
      <xdr:spPr>
        <a:xfrm>
          <a:off x="6959600" y="3094635"/>
          <a:ext cx="7645400" cy="1324261"/>
        </a:xfrm>
        <a:prstGeom prst="rect">
          <a:avLst/>
        </a:prstGeom>
        <a:ln>
          <a:noFill/>
        </a:ln>
        <a:effectLst>
          <a:outerShdw blurRad="292100" dist="139700" dir="2700000" algn="tl" rotWithShape="0">
            <a:srgbClr val="333333">
              <a:alpha val="65000"/>
            </a:srgbClr>
          </a:outerShdw>
        </a:effectLst>
      </xdr:spPr>
    </xdr:pic>
    <xdr:clientData/>
  </xdr:twoCellAnchor>
  <xdr:twoCellAnchor editAs="oneCell">
    <xdr:from>
      <xdr:col>5</xdr:col>
      <xdr:colOff>368299</xdr:colOff>
      <xdr:row>19</xdr:row>
      <xdr:rowOff>254000</xdr:rowOff>
    </xdr:from>
    <xdr:to>
      <xdr:col>6</xdr:col>
      <xdr:colOff>1818</xdr:colOff>
      <xdr:row>33</xdr:row>
      <xdr:rowOff>203200</xdr:rowOff>
    </xdr:to>
    <xdr:pic>
      <xdr:nvPicPr>
        <xdr:cNvPr id="4" name="Picture 3">
          <a:extLst>
            <a:ext uri="{FF2B5EF4-FFF2-40B4-BE49-F238E27FC236}">
              <a16:creationId xmlns:a16="http://schemas.microsoft.com/office/drawing/2014/main" id="{963BBD8A-C052-1BA7-F29C-95D7D3DC7758}"/>
            </a:ext>
          </a:extLst>
        </xdr:cNvPr>
        <xdr:cNvPicPr>
          <a:picLocks noChangeAspect="1"/>
        </xdr:cNvPicPr>
      </xdr:nvPicPr>
      <xdr:blipFill>
        <a:blip xmlns:r="http://schemas.openxmlformats.org/officeDocument/2006/relationships" r:embed="rId2"/>
        <a:stretch>
          <a:fillRect/>
        </a:stretch>
      </xdr:blipFill>
      <xdr:spPr>
        <a:xfrm>
          <a:off x="6959599" y="6045200"/>
          <a:ext cx="7664999" cy="4216400"/>
        </a:xfrm>
        <a:prstGeom prst="rect">
          <a:avLst/>
        </a:prstGeom>
        <a:ln>
          <a:noFill/>
        </a:ln>
        <a:effectLst>
          <a:outerShdw blurRad="292100" dist="139700" dir="2700000" algn="tl" rotWithShape="0">
            <a:srgbClr val="333333">
              <a:alpha val="65000"/>
            </a:srgbClr>
          </a:outerShdw>
        </a:effectLst>
      </xdr:spPr>
    </xdr:pic>
    <xdr:clientData/>
  </xdr:twoCellAnchor>
  <xdr:twoCellAnchor editAs="oneCell">
    <xdr:from>
      <xdr:col>5</xdr:col>
      <xdr:colOff>317500</xdr:colOff>
      <xdr:row>39</xdr:row>
      <xdr:rowOff>25400</xdr:rowOff>
    </xdr:from>
    <xdr:to>
      <xdr:col>5</xdr:col>
      <xdr:colOff>7901806</xdr:colOff>
      <xdr:row>51</xdr:row>
      <xdr:rowOff>215900</xdr:rowOff>
    </xdr:to>
    <xdr:pic>
      <xdr:nvPicPr>
        <xdr:cNvPr id="5" name="Picture 4">
          <a:extLst>
            <a:ext uri="{FF2B5EF4-FFF2-40B4-BE49-F238E27FC236}">
              <a16:creationId xmlns:a16="http://schemas.microsoft.com/office/drawing/2014/main" id="{803BB34F-D999-52B8-7535-2EF94F27ECC0}"/>
            </a:ext>
          </a:extLst>
        </xdr:cNvPr>
        <xdr:cNvPicPr>
          <a:picLocks noChangeAspect="1"/>
        </xdr:cNvPicPr>
      </xdr:nvPicPr>
      <xdr:blipFill>
        <a:blip xmlns:r="http://schemas.openxmlformats.org/officeDocument/2006/relationships" r:embed="rId3"/>
        <a:stretch>
          <a:fillRect/>
        </a:stretch>
      </xdr:blipFill>
      <xdr:spPr>
        <a:xfrm>
          <a:off x="6908800" y="11912600"/>
          <a:ext cx="7736706" cy="3848100"/>
        </a:xfrm>
        <a:prstGeom prst="rect">
          <a:avLst/>
        </a:prstGeom>
        <a:ln>
          <a:noFill/>
        </a:ln>
        <a:effectLst>
          <a:outerShdw blurRad="292100" dist="139700" dir="2700000" algn="tl" rotWithShape="0">
            <a:srgbClr val="333333">
              <a:alpha val="65000"/>
            </a:srgbClr>
          </a:outerShdw>
        </a:effec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19050</xdr:colOff>
      <xdr:row>31</xdr:row>
      <xdr:rowOff>38100</xdr:rowOff>
    </xdr:from>
    <xdr:to>
      <xdr:col>14</xdr:col>
      <xdr:colOff>863600</xdr:colOff>
      <xdr:row>58</xdr:row>
      <xdr:rowOff>50800</xdr:rowOff>
    </xdr:to>
    <xdr:graphicFrame macro="">
      <xdr:nvGraphicFramePr>
        <xdr:cNvPr id="6" name="Chart 5">
          <a:extLst>
            <a:ext uri="{FF2B5EF4-FFF2-40B4-BE49-F238E27FC236}">
              <a16:creationId xmlns:a16="http://schemas.microsoft.com/office/drawing/2014/main" id="{8E8655A1-C1FA-C6AB-B09E-71FF50BC1E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203200</xdr:colOff>
      <xdr:row>8</xdr:row>
      <xdr:rowOff>63500</xdr:rowOff>
    </xdr:from>
    <xdr:to>
      <xdr:col>7</xdr:col>
      <xdr:colOff>368300</xdr:colOff>
      <xdr:row>28</xdr:row>
      <xdr:rowOff>38100</xdr:rowOff>
    </xdr:to>
    <xdr:graphicFrame macro="">
      <xdr:nvGraphicFramePr>
        <xdr:cNvPr id="2" name="Chart 1">
          <a:extLst>
            <a:ext uri="{FF2B5EF4-FFF2-40B4-BE49-F238E27FC236}">
              <a16:creationId xmlns:a16="http://schemas.microsoft.com/office/drawing/2014/main" id="{6DF42E7F-595C-C445-995F-641B20258D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508000</xdr:colOff>
      <xdr:row>8</xdr:row>
      <xdr:rowOff>63500</xdr:rowOff>
    </xdr:from>
    <xdr:to>
      <xdr:col>13</xdr:col>
      <xdr:colOff>660400</xdr:colOff>
      <xdr:row>28</xdr:row>
      <xdr:rowOff>38100</xdr:rowOff>
    </xdr:to>
    <xdr:graphicFrame macro="">
      <xdr:nvGraphicFramePr>
        <xdr:cNvPr id="3" name="Chart 2">
          <a:extLst>
            <a:ext uri="{FF2B5EF4-FFF2-40B4-BE49-F238E27FC236}">
              <a16:creationId xmlns:a16="http://schemas.microsoft.com/office/drawing/2014/main" id="{2557AF96-4C23-CC4C-84C3-C93E4178CE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0</xdr:colOff>
      <xdr:row>1</xdr:row>
      <xdr:rowOff>88900</xdr:rowOff>
    </xdr:from>
    <xdr:to>
      <xdr:col>13</xdr:col>
      <xdr:colOff>266700</xdr:colOff>
      <xdr:row>2</xdr:row>
      <xdr:rowOff>12700</xdr:rowOff>
    </xdr:to>
    <xdr:pic>
      <xdr:nvPicPr>
        <xdr:cNvPr id="4" name="Picture 3">
          <a:extLst>
            <a:ext uri="{FF2B5EF4-FFF2-40B4-BE49-F238E27FC236}">
              <a16:creationId xmlns:a16="http://schemas.microsoft.com/office/drawing/2014/main" id="{C87A5906-4311-DA33-66E7-14407E2E4E4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865100" y="698500"/>
          <a:ext cx="12192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203200</xdr:colOff>
      <xdr:row>8</xdr:row>
      <xdr:rowOff>63500</xdr:rowOff>
    </xdr:from>
    <xdr:to>
      <xdr:col>7</xdr:col>
      <xdr:colOff>368300</xdr:colOff>
      <xdr:row>28</xdr:row>
      <xdr:rowOff>38100</xdr:rowOff>
    </xdr:to>
    <xdr:graphicFrame macro="">
      <xdr:nvGraphicFramePr>
        <xdr:cNvPr id="2" name="Chart 1">
          <a:extLst>
            <a:ext uri="{FF2B5EF4-FFF2-40B4-BE49-F238E27FC236}">
              <a16:creationId xmlns:a16="http://schemas.microsoft.com/office/drawing/2014/main" id="{37A92520-1B7B-6E4C-AA35-AC56194388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508000</xdr:colOff>
      <xdr:row>8</xdr:row>
      <xdr:rowOff>63500</xdr:rowOff>
    </xdr:from>
    <xdr:to>
      <xdr:col>13</xdr:col>
      <xdr:colOff>660400</xdr:colOff>
      <xdr:row>28</xdr:row>
      <xdr:rowOff>38100</xdr:rowOff>
    </xdr:to>
    <xdr:graphicFrame macro="">
      <xdr:nvGraphicFramePr>
        <xdr:cNvPr id="3" name="Chart 2">
          <a:extLst>
            <a:ext uri="{FF2B5EF4-FFF2-40B4-BE49-F238E27FC236}">
              <a16:creationId xmlns:a16="http://schemas.microsoft.com/office/drawing/2014/main" id="{C40A6CF1-9F17-C643-989D-DED6D37284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0</xdr:colOff>
      <xdr:row>1</xdr:row>
      <xdr:rowOff>38100</xdr:rowOff>
    </xdr:from>
    <xdr:to>
      <xdr:col>13</xdr:col>
      <xdr:colOff>165100</xdr:colOff>
      <xdr:row>2</xdr:row>
      <xdr:rowOff>12700</xdr:rowOff>
    </xdr:to>
    <xdr:pic>
      <xdr:nvPicPr>
        <xdr:cNvPr id="5" name="Picture 4">
          <a:extLst>
            <a:ext uri="{FF2B5EF4-FFF2-40B4-BE49-F238E27FC236}">
              <a16:creationId xmlns:a16="http://schemas.microsoft.com/office/drawing/2014/main" id="{07F216C0-AAFD-F5AD-79B2-7EE43567E69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865100" y="342900"/>
          <a:ext cx="1117600" cy="279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203200</xdr:colOff>
      <xdr:row>8</xdr:row>
      <xdr:rowOff>63500</xdr:rowOff>
    </xdr:from>
    <xdr:to>
      <xdr:col>7</xdr:col>
      <xdr:colOff>368300</xdr:colOff>
      <xdr:row>28</xdr:row>
      <xdr:rowOff>38100</xdr:rowOff>
    </xdr:to>
    <xdr:graphicFrame macro="">
      <xdr:nvGraphicFramePr>
        <xdr:cNvPr id="4" name="Chart 3">
          <a:extLst>
            <a:ext uri="{FF2B5EF4-FFF2-40B4-BE49-F238E27FC236}">
              <a16:creationId xmlns:a16="http://schemas.microsoft.com/office/drawing/2014/main" id="{9E60E8E6-F8B7-E0EC-B063-82BCE90620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508000</xdr:colOff>
      <xdr:row>8</xdr:row>
      <xdr:rowOff>63500</xdr:rowOff>
    </xdr:from>
    <xdr:to>
      <xdr:col>13</xdr:col>
      <xdr:colOff>660400</xdr:colOff>
      <xdr:row>28</xdr:row>
      <xdr:rowOff>38100</xdr:rowOff>
    </xdr:to>
    <xdr:graphicFrame macro="">
      <xdr:nvGraphicFramePr>
        <xdr:cNvPr id="5" name="Chart 4">
          <a:extLst>
            <a:ext uri="{FF2B5EF4-FFF2-40B4-BE49-F238E27FC236}">
              <a16:creationId xmlns:a16="http://schemas.microsoft.com/office/drawing/2014/main" id="{3543CAC9-ED6F-9A41-BBC0-5B0C530DAC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12700</xdr:colOff>
      <xdr:row>1</xdr:row>
      <xdr:rowOff>38100</xdr:rowOff>
    </xdr:from>
    <xdr:to>
      <xdr:col>13</xdr:col>
      <xdr:colOff>101600</xdr:colOff>
      <xdr:row>2</xdr:row>
      <xdr:rowOff>12700</xdr:rowOff>
    </xdr:to>
    <xdr:pic>
      <xdr:nvPicPr>
        <xdr:cNvPr id="2" name="Picture 1">
          <a:extLst>
            <a:ext uri="{FF2B5EF4-FFF2-40B4-BE49-F238E27FC236}">
              <a16:creationId xmlns:a16="http://schemas.microsoft.com/office/drawing/2014/main" id="{E4EB3BCE-B686-1DE2-E420-B557920D2B2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877800" y="342900"/>
          <a:ext cx="1041400" cy="279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203200</xdr:colOff>
      <xdr:row>8</xdr:row>
      <xdr:rowOff>63500</xdr:rowOff>
    </xdr:from>
    <xdr:to>
      <xdr:col>7</xdr:col>
      <xdr:colOff>368300</xdr:colOff>
      <xdr:row>28</xdr:row>
      <xdr:rowOff>38100</xdr:rowOff>
    </xdr:to>
    <xdr:graphicFrame macro="">
      <xdr:nvGraphicFramePr>
        <xdr:cNvPr id="2" name="Chart 1">
          <a:extLst>
            <a:ext uri="{FF2B5EF4-FFF2-40B4-BE49-F238E27FC236}">
              <a16:creationId xmlns:a16="http://schemas.microsoft.com/office/drawing/2014/main" id="{AF525ECF-E88E-064B-895E-F804491BFF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508000</xdr:colOff>
      <xdr:row>8</xdr:row>
      <xdr:rowOff>63500</xdr:rowOff>
    </xdr:from>
    <xdr:to>
      <xdr:col>13</xdr:col>
      <xdr:colOff>660400</xdr:colOff>
      <xdr:row>28</xdr:row>
      <xdr:rowOff>38100</xdr:rowOff>
    </xdr:to>
    <xdr:graphicFrame macro="">
      <xdr:nvGraphicFramePr>
        <xdr:cNvPr id="3" name="Chart 2">
          <a:extLst>
            <a:ext uri="{FF2B5EF4-FFF2-40B4-BE49-F238E27FC236}">
              <a16:creationId xmlns:a16="http://schemas.microsoft.com/office/drawing/2014/main" id="{C529B8EA-6980-D445-B76F-4D61907BA3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12700</xdr:colOff>
      <xdr:row>1</xdr:row>
      <xdr:rowOff>63500</xdr:rowOff>
    </xdr:from>
    <xdr:to>
      <xdr:col>14</xdr:col>
      <xdr:colOff>203200</xdr:colOff>
      <xdr:row>2</xdr:row>
      <xdr:rowOff>12700</xdr:rowOff>
    </xdr:to>
    <xdr:pic>
      <xdr:nvPicPr>
        <xdr:cNvPr id="4" name="Picture 3">
          <a:extLst>
            <a:ext uri="{FF2B5EF4-FFF2-40B4-BE49-F238E27FC236}">
              <a16:creationId xmlns:a16="http://schemas.microsoft.com/office/drawing/2014/main" id="{3D655434-FD6E-76AD-7683-1ABCDBD1C12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877800" y="368300"/>
          <a:ext cx="1790700" cy="25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1</xdr:col>
      <xdr:colOff>0</xdr:colOff>
      <xdr:row>23</xdr:row>
      <xdr:rowOff>0</xdr:rowOff>
    </xdr:from>
    <xdr:to>
      <xdr:col>6</xdr:col>
      <xdr:colOff>381000</xdr:colOff>
      <xdr:row>42</xdr:row>
      <xdr:rowOff>279400</xdr:rowOff>
    </xdr:to>
    <xdr:graphicFrame macro="">
      <xdr:nvGraphicFramePr>
        <xdr:cNvPr id="2" name="Chart 1">
          <a:extLst>
            <a:ext uri="{FF2B5EF4-FFF2-40B4-BE49-F238E27FC236}">
              <a16:creationId xmlns:a16="http://schemas.microsoft.com/office/drawing/2014/main" id="{C2AF4362-DFB2-4B40-8379-7CA6BCDE7E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88900</xdr:colOff>
      <xdr:row>13</xdr:row>
      <xdr:rowOff>203200</xdr:rowOff>
    </xdr:from>
    <xdr:to>
      <xdr:col>6</xdr:col>
      <xdr:colOff>469900</xdr:colOff>
      <xdr:row>33</xdr:row>
      <xdr:rowOff>177800</xdr:rowOff>
    </xdr:to>
    <xdr:graphicFrame macro="">
      <xdr:nvGraphicFramePr>
        <xdr:cNvPr id="2" name="Chart 1">
          <a:extLst>
            <a:ext uri="{FF2B5EF4-FFF2-40B4-BE49-F238E27FC236}">
              <a16:creationId xmlns:a16="http://schemas.microsoft.com/office/drawing/2014/main" id="{899C1728-8221-2F44-95FA-A8A984DA7A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Custom 10">
      <a:dk1>
        <a:srgbClr val="000000"/>
      </a:dk1>
      <a:lt1>
        <a:srgbClr val="FFFFFF"/>
      </a:lt1>
      <a:dk2>
        <a:srgbClr val="FFFFFF"/>
      </a:dk2>
      <a:lt2>
        <a:srgbClr val="FFFFFF"/>
      </a:lt2>
      <a:accent1>
        <a:srgbClr val="14478A"/>
      </a:accent1>
      <a:accent2>
        <a:srgbClr val="B7472A"/>
      </a:accent2>
      <a:accent3>
        <a:srgbClr val="F5E3DF"/>
      </a:accent3>
      <a:accent4>
        <a:srgbClr val="424242"/>
      </a:accent4>
      <a:accent5>
        <a:srgbClr val="D9D9D9"/>
      </a:accent5>
      <a:accent6>
        <a:srgbClr val="F0F0F0"/>
      </a:accent6>
      <a:hlink>
        <a:srgbClr val="555555"/>
      </a:hlink>
      <a:folHlink>
        <a:srgbClr val="333333"/>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186EA-1280-B34F-9CEB-03D872D9C2CC}">
  <dimension ref="A2:F39"/>
  <sheetViews>
    <sheetView tabSelected="1" workbookViewId="0"/>
  </sheetViews>
  <sheetFormatPr defaultColWidth="7.81640625" defaultRowHeight="24" customHeight="1"/>
  <cols>
    <col min="1" max="1" width="2.453125" style="22" customWidth="1"/>
    <col min="2" max="2" width="25.26953125" style="22" customWidth="1"/>
    <col min="3" max="3" width="25.26953125" style="24" customWidth="1"/>
    <col min="4" max="4" width="10.54296875" style="22" customWidth="1"/>
    <col min="5" max="5" width="10.54296875" style="23" customWidth="1"/>
    <col min="6" max="6" width="94.26953125" style="22" customWidth="1"/>
    <col min="7" max="16384" width="7.81640625" style="22"/>
  </cols>
  <sheetData>
    <row r="2" spans="1:6" ht="24" customHeight="1">
      <c r="B2" s="16" t="s">
        <v>40</v>
      </c>
      <c r="F2" s="16" t="s">
        <v>41</v>
      </c>
    </row>
    <row r="3" spans="1:6" ht="24" customHeight="1" thickBot="1"/>
    <row r="4" spans="1:6" ht="24" customHeight="1" thickBot="1">
      <c r="A4" s="11"/>
      <c r="B4" s="126" t="s">
        <v>28</v>
      </c>
      <c r="C4" s="127"/>
      <c r="F4" s="89" t="s">
        <v>42</v>
      </c>
    </row>
    <row r="5" spans="1:6" ht="24" customHeight="1">
      <c r="A5" s="11"/>
      <c r="B5" s="12" t="s">
        <v>29</v>
      </c>
      <c r="C5" s="17" t="s">
        <v>30</v>
      </c>
      <c r="F5" s="125" t="s">
        <v>43</v>
      </c>
    </row>
    <row r="6" spans="1:6" ht="24" customHeight="1">
      <c r="A6" s="11"/>
      <c r="B6" s="13" t="s">
        <v>31</v>
      </c>
      <c r="C6" s="18" t="s">
        <v>32</v>
      </c>
      <c r="F6" s="125"/>
    </row>
    <row r="7" spans="1:6" ht="24" customHeight="1" thickBot="1">
      <c r="A7" s="11"/>
      <c r="B7" s="14" t="s">
        <v>33</v>
      </c>
      <c r="C7" s="19">
        <f ca="1">TODAY()</f>
        <v>45423</v>
      </c>
      <c r="F7" s="125"/>
    </row>
    <row r="8" spans="1:6" ht="24" customHeight="1" thickBot="1"/>
    <row r="9" spans="1:6" ht="24" customHeight="1" thickBot="1">
      <c r="A9" s="11"/>
      <c r="B9" s="126" t="s">
        <v>34</v>
      </c>
      <c r="C9" s="127"/>
      <c r="F9" s="89" t="s">
        <v>44</v>
      </c>
    </row>
    <row r="10" spans="1:6" ht="24" customHeight="1">
      <c r="A10" s="11"/>
      <c r="B10" s="12" t="s">
        <v>35</v>
      </c>
      <c r="C10" s="17" t="s">
        <v>37</v>
      </c>
      <c r="F10" s="125" t="s">
        <v>45</v>
      </c>
    </row>
    <row r="11" spans="1:6" ht="24" customHeight="1">
      <c r="A11" s="11"/>
      <c r="B11" s="15" t="s">
        <v>36</v>
      </c>
      <c r="C11" s="18" t="s">
        <v>38</v>
      </c>
      <c r="F11" s="125"/>
    </row>
    <row r="12" spans="1:6" ht="24" customHeight="1" thickBot="1">
      <c r="A12" s="11"/>
      <c r="B12" s="90" t="s">
        <v>94</v>
      </c>
      <c r="C12" s="19" t="s">
        <v>39</v>
      </c>
      <c r="F12" s="125"/>
    </row>
    <row r="17" spans="6:6" ht="24" customHeight="1">
      <c r="F17" s="89" t="s">
        <v>46</v>
      </c>
    </row>
    <row r="18" spans="6:6" ht="24" customHeight="1">
      <c r="F18" s="125" t="s">
        <v>47</v>
      </c>
    </row>
    <row r="19" spans="6:6" ht="24" customHeight="1">
      <c r="F19" s="125"/>
    </row>
    <row r="20" spans="6:6" ht="24" customHeight="1">
      <c r="F20" s="125"/>
    </row>
    <row r="36" spans="6:6" ht="24" customHeight="1">
      <c r="F36" s="89" t="s">
        <v>48</v>
      </c>
    </row>
    <row r="37" spans="6:6" ht="24" customHeight="1">
      <c r="F37" s="125" t="s">
        <v>49</v>
      </c>
    </row>
    <row r="38" spans="6:6" ht="24" customHeight="1">
      <c r="F38" s="125"/>
    </row>
    <row r="39" spans="6:6" ht="24" customHeight="1">
      <c r="F39" s="125"/>
    </row>
  </sheetData>
  <mergeCells count="6">
    <mergeCell ref="F37:F39"/>
    <mergeCell ref="B4:C4"/>
    <mergeCell ref="B9:C9"/>
    <mergeCell ref="F5:F7"/>
    <mergeCell ref="F10:F12"/>
    <mergeCell ref="F18:F2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83D66-AAB3-C947-9A27-4A3BB3DF8A35}">
  <dimension ref="A2:O52"/>
  <sheetViews>
    <sheetView zoomScaleNormal="100" workbookViewId="0">
      <selection activeCell="N8" sqref="N8"/>
    </sheetView>
  </sheetViews>
  <sheetFormatPr defaultColWidth="10.7265625" defaultRowHeight="24" customHeight="1"/>
  <cols>
    <col min="1" max="1" width="2.7265625" style="4" customWidth="1"/>
    <col min="2" max="2" width="18.1796875" style="4" customWidth="1"/>
    <col min="3" max="3" width="5.453125" style="7" customWidth="1"/>
    <col min="4" max="10" width="13.81640625" style="4" customWidth="1"/>
    <col min="11" max="11" width="3.1796875" style="4" customWidth="1"/>
    <col min="12" max="12" width="10.7265625" style="4"/>
    <col min="13" max="15" width="10.26953125" style="4" customWidth="1"/>
    <col min="16" max="16384" width="10.7265625" style="3"/>
  </cols>
  <sheetData>
    <row r="2" spans="2:15" ht="24" customHeight="1">
      <c r="B2" s="9" t="s">
        <v>23</v>
      </c>
    </row>
    <row r="3" spans="2:15" ht="24" customHeight="1" thickBot="1">
      <c r="B3" s="87"/>
      <c r="C3" s="88"/>
      <c r="D3" s="87"/>
      <c r="E3" s="87"/>
      <c r="F3" s="87"/>
      <c r="G3" s="87"/>
      <c r="H3" s="87"/>
      <c r="I3" s="87"/>
      <c r="J3" s="87"/>
    </row>
    <row r="4" spans="2:15" ht="24" customHeight="1">
      <c r="B4" s="95" t="s">
        <v>27</v>
      </c>
      <c r="C4" s="96"/>
      <c r="D4" s="97">
        <v>1</v>
      </c>
      <c r="E4" s="97">
        <f>D4+1</f>
        <v>2</v>
      </c>
      <c r="F4" s="97">
        <f t="shared" ref="F4:J4" si="0">E4+1</f>
        <v>3</v>
      </c>
      <c r="G4" s="97">
        <f t="shared" si="0"/>
        <v>4</v>
      </c>
      <c r="H4" s="97">
        <f t="shared" si="0"/>
        <v>5</v>
      </c>
      <c r="I4" s="97">
        <f t="shared" si="0"/>
        <v>6</v>
      </c>
      <c r="J4" s="98">
        <f t="shared" si="0"/>
        <v>7</v>
      </c>
    </row>
    <row r="5" spans="2:15" ht="24" customHeight="1">
      <c r="B5" s="26" t="s">
        <v>0</v>
      </c>
      <c r="C5" s="27" t="s">
        <v>5</v>
      </c>
      <c r="D5" s="91">
        <v>10</v>
      </c>
      <c r="E5" s="91">
        <f>D5+5</f>
        <v>15</v>
      </c>
      <c r="F5" s="91">
        <f t="shared" ref="F5:J5" si="1">E5+5</f>
        <v>20</v>
      </c>
      <c r="G5" s="91">
        <f t="shared" si="1"/>
        <v>25</v>
      </c>
      <c r="H5" s="91">
        <f t="shared" si="1"/>
        <v>30</v>
      </c>
      <c r="I5" s="91">
        <f t="shared" si="1"/>
        <v>35</v>
      </c>
      <c r="J5" s="92">
        <f t="shared" si="1"/>
        <v>40</v>
      </c>
    </row>
    <row r="6" spans="2:15" ht="24" customHeight="1" thickBot="1">
      <c r="B6" s="28" t="s">
        <v>4</v>
      </c>
      <c r="C6" s="29" t="s">
        <v>6</v>
      </c>
      <c r="D6" s="93">
        <v>31000</v>
      </c>
      <c r="E6" s="93">
        <v>20000</v>
      </c>
      <c r="F6" s="93">
        <v>15000</v>
      </c>
      <c r="G6" s="93">
        <v>9500</v>
      </c>
      <c r="H6" s="93">
        <v>6500</v>
      </c>
      <c r="I6" s="93">
        <v>4500</v>
      </c>
      <c r="J6" s="94">
        <v>3000</v>
      </c>
    </row>
    <row r="7" spans="2:15" s="20" customFormat="1" ht="24" customHeight="1">
      <c r="D7" s="25"/>
      <c r="E7" s="25"/>
      <c r="F7" s="25"/>
      <c r="G7" s="25"/>
      <c r="H7" s="25"/>
      <c r="I7" s="25"/>
      <c r="J7" s="25"/>
    </row>
    <row r="8" spans="2:15" s="4" customFormat="1" ht="24" customHeight="1"/>
    <row r="9" spans="2:15" ht="24" customHeight="1">
      <c r="B9" s="9" t="s">
        <v>24</v>
      </c>
      <c r="C9" s="4"/>
    </row>
    <row r="10" spans="2:15" ht="24" customHeight="1" thickBot="1">
      <c r="C10" s="4"/>
    </row>
    <row r="11" spans="2:15" ht="24" customHeight="1">
      <c r="B11" s="95" t="s">
        <v>14</v>
      </c>
      <c r="C11" s="96"/>
      <c r="D11" s="97">
        <f>D4</f>
        <v>1</v>
      </c>
      <c r="E11" s="97">
        <f t="shared" ref="E11:I11" si="2">E4</f>
        <v>2</v>
      </c>
      <c r="F11" s="97">
        <f t="shared" si="2"/>
        <v>3</v>
      </c>
      <c r="G11" s="97">
        <f t="shared" si="2"/>
        <v>4</v>
      </c>
      <c r="H11" s="97">
        <f t="shared" si="2"/>
        <v>5</v>
      </c>
      <c r="I11" s="97">
        <f t="shared" si="2"/>
        <v>6</v>
      </c>
      <c r="J11" s="98">
        <f>J4</f>
        <v>7</v>
      </c>
      <c r="L11" s="99" t="s">
        <v>21</v>
      </c>
      <c r="M11" s="100"/>
      <c r="N11" s="100"/>
      <c r="O11" s="101"/>
    </row>
    <row r="12" spans="2:15" ht="24" customHeight="1">
      <c r="B12" s="26" t="s">
        <v>0</v>
      </c>
      <c r="C12" s="27" t="s">
        <v>5</v>
      </c>
      <c r="D12" s="30">
        <f>D5</f>
        <v>10</v>
      </c>
      <c r="E12" s="30">
        <f t="shared" ref="E12:J12" si="3">E5</f>
        <v>15</v>
      </c>
      <c r="F12" s="30">
        <f t="shared" si="3"/>
        <v>20</v>
      </c>
      <c r="G12" s="30">
        <f t="shared" si="3"/>
        <v>25</v>
      </c>
      <c r="H12" s="30">
        <f t="shared" si="3"/>
        <v>30</v>
      </c>
      <c r="I12" s="30">
        <f t="shared" si="3"/>
        <v>35</v>
      </c>
      <c r="J12" s="31">
        <f t="shared" si="3"/>
        <v>40</v>
      </c>
      <c r="L12" s="35" t="s">
        <v>2</v>
      </c>
      <c r="M12" s="34" t="s">
        <v>10</v>
      </c>
      <c r="N12" s="34"/>
      <c r="O12" s="36" t="s">
        <v>22</v>
      </c>
    </row>
    <row r="13" spans="2:15" ht="24" customHeight="1" thickBot="1">
      <c r="B13" s="28" t="s">
        <v>4</v>
      </c>
      <c r="C13" s="29" t="s">
        <v>6</v>
      </c>
      <c r="D13" s="32">
        <f t="shared" ref="D13:J13" si="4">($L$13*D12)+$M$13</f>
        <v>26017.857142857138</v>
      </c>
      <c r="E13" s="32">
        <f t="shared" si="4"/>
        <v>21607.142857142855</v>
      </c>
      <c r="F13" s="32">
        <f t="shared" si="4"/>
        <v>17196.428571428569</v>
      </c>
      <c r="G13" s="32">
        <f t="shared" si="4"/>
        <v>12785.714285714286</v>
      </c>
      <c r="H13" s="32">
        <f t="shared" si="4"/>
        <v>8375</v>
      </c>
      <c r="I13" s="32">
        <f t="shared" si="4"/>
        <v>3964.2857142857138</v>
      </c>
      <c r="J13" s="33">
        <f t="shared" si="4"/>
        <v>-446.42857142857247</v>
      </c>
      <c r="L13" s="37" cm="1">
        <f t="array" ref="L13:M13">LINEST(D6:J6,D5:J5,TRUE,FALSE)</f>
        <v>-882.142857142857</v>
      </c>
      <c r="M13" s="38">
        <v>34839.28571428571</v>
      </c>
      <c r="N13" s="38"/>
      <c r="O13" s="39">
        <f>STEYX($D$6:$J$6,D13:J13)</f>
        <v>3426.524686701011</v>
      </c>
    </row>
    <row r="14" spans="2:15" ht="24" customHeight="1" thickBot="1">
      <c r="D14" s="8"/>
      <c r="E14" s="8"/>
      <c r="F14" s="8"/>
      <c r="G14" s="8"/>
      <c r="H14" s="8"/>
      <c r="I14" s="8"/>
      <c r="J14" s="8"/>
      <c r="L14" s="40"/>
      <c r="M14" s="40"/>
      <c r="N14" s="40"/>
      <c r="O14" s="41"/>
    </row>
    <row r="15" spans="2:15" ht="24" customHeight="1">
      <c r="B15" s="95" t="s">
        <v>16</v>
      </c>
      <c r="C15" s="96"/>
      <c r="D15" s="97">
        <f t="shared" ref="D15:J15" si="5">D11</f>
        <v>1</v>
      </c>
      <c r="E15" s="97">
        <f t="shared" si="5"/>
        <v>2</v>
      </c>
      <c r="F15" s="97">
        <f t="shared" si="5"/>
        <v>3</v>
      </c>
      <c r="G15" s="97">
        <f t="shared" si="5"/>
        <v>4</v>
      </c>
      <c r="H15" s="97">
        <f t="shared" si="5"/>
        <v>5</v>
      </c>
      <c r="I15" s="97">
        <f t="shared" si="5"/>
        <v>6</v>
      </c>
      <c r="J15" s="97">
        <f t="shared" si="5"/>
        <v>7</v>
      </c>
      <c r="L15" s="102" t="str">
        <f>L11</f>
        <v>Calculations</v>
      </c>
      <c r="M15" s="103"/>
      <c r="N15" s="103"/>
      <c r="O15" s="104"/>
    </row>
    <row r="16" spans="2:15" ht="24" customHeight="1">
      <c r="B16" s="26" t="s">
        <v>0</v>
      </c>
      <c r="C16" s="27" t="s">
        <v>5</v>
      </c>
      <c r="D16" s="30">
        <f t="shared" ref="D16:J16" si="6">D5</f>
        <v>10</v>
      </c>
      <c r="E16" s="30">
        <f t="shared" si="6"/>
        <v>15</v>
      </c>
      <c r="F16" s="30">
        <f t="shared" si="6"/>
        <v>20</v>
      </c>
      <c r="G16" s="30">
        <f t="shared" si="6"/>
        <v>25</v>
      </c>
      <c r="H16" s="30">
        <f t="shared" si="6"/>
        <v>30</v>
      </c>
      <c r="I16" s="30">
        <f t="shared" si="6"/>
        <v>35</v>
      </c>
      <c r="J16" s="31">
        <f t="shared" si="6"/>
        <v>40</v>
      </c>
      <c r="L16" s="42" t="s">
        <v>10</v>
      </c>
      <c r="M16" s="43" t="s">
        <v>18</v>
      </c>
      <c r="N16" s="43" t="s">
        <v>19</v>
      </c>
      <c r="O16" s="44" t="s">
        <v>22</v>
      </c>
    </row>
    <row r="17" spans="2:15" ht="24" customHeight="1" thickBot="1">
      <c r="B17" s="28" t="s">
        <v>4</v>
      </c>
      <c r="C17" s="29" t="s">
        <v>6</v>
      </c>
      <c r="D17" s="32">
        <f t="shared" ref="D17:J17" si="7">$N$17*(EXP($L$17*D16))</f>
        <v>30756.964671838243</v>
      </c>
      <c r="E17" s="32">
        <f t="shared" si="7"/>
        <v>20894.478620728689</v>
      </c>
      <c r="F17" s="32">
        <f t="shared" si="7"/>
        <v>14194.483801967295</v>
      </c>
      <c r="G17" s="32">
        <f t="shared" si="7"/>
        <v>9642.900120246466</v>
      </c>
      <c r="H17" s="32">
        <f t="shared" si="7"/>
        <v>6550.8210109170677</v>
      </c>
      <c r="I17" s="32">
        <f t="shared" si="7"/>
        <v>4450.2437422296634</v>
      </c>
      <c r="J17" s="33">
        <f t="shared" si="7"/>
        <v>3023.2346956586694</v>
      </c>
      <c r="L17" s="37" cm="1">
        <f t="array" ref="L17:M17">LINEST(LN(D6:J6),D5:J5,TRUE,FALSE)</f>
        <v>-7.7326303751479794E-2</v>
      </c>
      <c r="M17" s="38">
        <v>11.107134778496819</v>
      </c>
      <c r="N17" s="38">
        <f>EXP(M17)</f>
        <v>66644.964975309311</v>
      </c>
      <c r="O17" s="39">
        <f>STEYX($D$6:$J$6,D17:J17)</f>
        <v>553.48587989228861</v>
      </c>
    </row>
    <row r="18" spans="2:15" ht="24" customHeight="1" thickBot="1">
      <c r="B18" s="7"/>
      <c r="D18" s="8"/>
      <c r="E18" s="8"/>
      <c r="F18" s="8"/>
      <c r="G18" s="8"/>
      <c r="H18" s="8"/>
      <c r="I18" s="8"/>
      <c r="J18" s="8"/>
      <c r="L18" s="40"/>
      <c r="M18" s="40"/>
      <c r="N18" s="40"/>
      <c r="O18" s="41"/>
    </row>
    <row r="19" spans="2:15" ht="24" customHeight="1">
      <c r="B19" s="95" t="s">
        <v>17</v>
      </c>
      <c r="C19" s="96"/>
      <c r="D19" s="97">
        <f>D15</f>
        <v>1</v>
      </c>
      <c r="E19" s="97">
        <f t="shared" ref="E19:J19" si="8">E15</f>
        <v>2</v>
      </c>
      <c r="F19" s="97">
        <f t="shared" si="8"/>
        <v>3</v>
      </c>
      <c r="G19" s="97">
        <f t="shared" si="8"/>
        <v>4</v>
      </c>
      <c r="H19" s="97">
        <f t="shared" si="8"/>
        <v>5</v>
      </c>
      <c r="I19" s="97">
        <f t="shared" si="8"/>
        <v>6</v>
      </c>
      <c r="J19" s="97">
        <f t="shared" si="8"/>
        <v>7</v>
      </c>
      <c r="L19" s="102" t="str">
        <f>L15</f>
        <v>Calculations</v>
      </c>
      <c r="M19" s="103"/>
      <c r="N19" s="103"/>
      <c r="O19" s="104"/>
    </row>
    <row r="20" spans="2:15" ht="24" customHeight="1">
      <c r="B20" s="26" t="s">
        <v>0</v>
      </c>
      <c r="C20" s="27" t="s">
        <v>5</v>
      </c>
      <c r="D20" s="30">
        <f t="shared" ref="D20:J20" si="9">D5</f>
        <v>10</v>
      </c>
      <c r="E20" s="30">
        <f t="shared" si="9"/>
        <v>15</v>
      </c>
      <c r="F20" s="30">
        <f t="shared" si="9"/>
        <v>20</v>
      </c>
      <c r="G20" s="30">
        <f t="shared" si="9"/>
        <v>25</v>
      </c>
      <c r="H20" s="30">
        <f t="shared" si="9"/>
        <v>30</v>
      </c>
      <c r="I20" s="30">
        <f t="shared" si="9"/>
        <v>35</v>
      </c>
      <c r="J20" s="31">
        <f t="shared" si="9"/>
        <v>40</v>
      </c>
      <c r="L20" s="42" t="s">
        <v>10</v>
      </c>
      <c r="M20" s="43" t="s">
        <v>18</v>
      </c>
      <c r="N20" s="43" t="s">
        <v>19</v>
      </c>
      <c r="O20" s="44" t="s">
        <v>22</v>
      </c>
    </row>
    <row r="21" spans="2:15" ht="24" customHeight="1" thickBot="1">
      <c r="B21" s="28" t="s">
        <v>4</v>
      </c>
      <c r="C21" s="29" t="s">
        <v>6</v>
      </c>
      <c r="D21" s="32">
        <f t="shared" ref="D21:J21" si="10">$N$21*(D20^$L$21)</f>
        <v>37787.592874883405</v>
      </c>
      <c r="E21" s="32">
        <f t="shared" si="10"/>
        <v>19261.927252439702</v>
      </c>
      <c r="F21" s="32">
        <f t="shared" si="10"/>
        <v>11941.575292407944</v>
      </c>
      <c r="G21" s="32">
        <f t="shared" si="10"/>
        <v>8241.4757527183665</v>
      </c>
      <c r="H21" s="32">
        <f t="shared" si="10"/>
        <v>6087.1237637044824</v>
      </c>
      <c r="I21" s="32">
        <f t="shared" si="10"/>
        <v>4711.4215036776286</v>
      </c>
      <c r="J21" s="33">
        <f t="shared" si="10"/>
        <v>3773.7577235048443</v>
      </c>
      <c r="L21" s="37" cm="1">
        <f t="array" ref="L21:M21">LINEST(LN(D6:J6),LN(D5:J5),TRUE,FALSE)</f>
        <v>-1.661919455104468</v>
      </c>
      <c r="M21" s="38">
        <v>14.366447059985298</v>
      </c>
      <c r="N21" s="32">
        <f>EXP(M21)</f>
        <v>1734876.973121573</v>
      </c>
      <c r="O21" s="39">
        <f>STEYX($D$6:$J$6,D21:J21)</f>
        <v>2282.4863106896501</v>
      </c>
    </row>
    <row r="22" spans="2:15" ht="24" customHeight="1" thickBot="1">
      <c r="B22" s="7"/>
      <c r="D22" s="8"/>
      <c r="E22" s="8"/>
      <c r="F22" s="8"/>
      <c r="G22" s="8"/>
      <c r="H22" s="8"/>
      <c r="I22" s="8"/>
      <c r="J22" s="8"/>
      <c r="L22" s="40"/>
      <c r="M22" s="40"/>
      <c r="N22" s="40"/>
      <c r="O22" s="41"/>
    </row>
    <row r="23" spans="2:15" ht="24" customHeight="1">
      <c r="B23" s="95" t="s">
        <v>15</v>
      </c>
      <c r="C23" s="96"/>
      <c r="D23" s="97">
        <f>D19</f>
        <v>1</v>
      </c>
      <c r="E23" s="97">
        <f t="shared" ref="E23:J23" si="11">E19</f>
        <v>2</v>
      </c>
      <c r="F23" s="97">
        <f t="shared" si="11"/>
        <v>3</v>
      </c>
      <c r="G23" s="97">
        <f t="shared" si="11"/>
        <v>4</v>
      </c>
      <c r="H23" s="97">
        <f t="shared" si="11"/>
        <v>5</v>
      </c>
      <c r="I23" s="97">
        <f t="shared" si="11"/>
        <v>6</v>
      </c>
      <c r="J23" s="97">
        <f t="shared" si="11"/>
        <v>7</v>
      </c>
      <c r="L23" s="102" t="str">
        <f>L19</f>
        <v>Calculations</v>
      </c>
      <c r="M23" s="103"/>
      <c r="N23" s="103"/>
      <c r="O23" s="104"/>
    </row>
    <row r="24" spans="2:15" ht="24" customHeight="1">
      <c r="B24" s="26" t="s">
        <v>0</v>
      </c>
      <c r="C24" s="27" t="s">
        <v>5</v>
      </c>
      <c r="D24" s="30">
        <f t="shared" ref="D24:J24" si="12">D5</f>
        <v>10</v>
      </c>
      <c r="E24" s="30">
        <f t="shared" si="12"/>
        <v>15</v>
      </c>
      <c r="F24" s="30">
        <f t="shared" si="12"/>
        <v>20</v>
      </c>
      <c r="G24" s="30">
        <f t="shared" si="12"/>
        <v>25</v>
      </c>
      <c r="H24" s="30">
        <f t="shared" si="12"/>
        <v>30</v>
      </c>
      <c r="I24" s="30">
        <f t="shared" si="12"/>
        <v>35</v>
      </c>
      <c r="J24" s="31">
        <f t="shared" si="12"/>
        <v>40</v>
      </c>
      <c r="L24" s="42" t="s">
        <v>19</v>
      </c>
      <c r="M24" s="43" t="s">
        <v>10</v>
      </c>
      <c r="N24" s="43"/>
      <c r="O24" s="44" t="s">
        <v>22</v>
      </c>
    </row>
    <row r="25" spans="2:15" ht="24" customHeight="1" thickBot="1">
      <c r="B25" s="28" t="s">
        <v>4</v>
      </c>
      <c r="C25" s="29" t="s">
        <v>6</v>
      </c>
      <c r="D25" s="32">
        <f t="shared" ref="D25:J25" si="13">$L$25*LN(D24)+$M$25</f>
        <v>29390.279275952154</v>
      </c>
      <c r="E25" s="32">
        <f t="shared" si="13"/>
        <v>21197.770440181615</v>
      </c>
      <c r="F25" s="32">
        <f t="shared" si="13"/>
        <v>15385.092916705857</v>
      </c>
      <c r="G25" s="32">
        <f t="shared" si="13"/>
        <v>10876.429953531217</v>
      </c>
      <c r="H25" s="32">
        <f t="shared" si="13"/>
        <v>7192.5840809353103</v>
      </c>
      <c r="I25" s="32">
        <f t="shared" si="13"/>
        <v>4077.9367752343387</v>
      </c>
      <c r="J25" s="33">
        <f t="shared" si="13"/>
        <v>1379.9065574595443</v>
      </c>
      <c r="L25" s="37" cm="1">
        <f t="array" ref="L25:M25">LINEST(D6:J6,LN(D5:J5),TRUE,FALSE)</f>
        <v>-20205.212907210404</v>
      </c>
      <c r="M25" s="38">
        <v>75914.501316865717</v>
      </c>
      <c r="N25" s="38"/>
      <c r="O25" s="39">
        <f>STEYX($D$6:$J$6,D25:J25)</f>
        <v>1367.5689120263205</v>
      </c>
    </row>
    <row r="26" spans="2:15" s="20" customFormat="1" ht="24" customHeight="1">
      <c r="C26" s="21"/>
    </row>
    <row r="27" spans="2:15" s="4" customFormat="1" ht="24" customHeight="1">
      <c r="C27" s="7"/>
    </row>
    <row r="28" spans="2:15" ht="24" customHeight="1">
      <c r="B28" s="9" t="s">
        <v>25</v>
      </c>
      <c r="O28" s="4" t="s">
        <v>9</v>
      </c>
    </row>
    <row r="29" spans="2:15" ht="24" customHeight="1">
      <c r="B29" s="9"/>
    </row>
    <row r="30" spans="2:15" ht="24" customHeight="1">
      <c r="B30" s="4" t="s">
        <v>26</v>
      </c>
      <c r="D30" s="10" t="str" cm="1">
        <f t="array" ref="D30">INDEX(B11:B25,MATCH(MIN(O13,O17,O21,O25),O11:O25,0)-2,0)</f>
        <v>Exponential</v>
      </c>
    </row>
    <row r="39" spans="14:14" ht="24" customHeight="1">
      <c r="N39" s="4" t="s">
        <v>20</v>
      </c>
    </row>
    <row r="52" spans="3:7" s="4" customFormat="1" ht="24" customHeight="1">
      <c r="C52" s="7"/>
      <c r="G52" s="4" t="s">
        <v>9</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188FD-8B8F-2C45-AF12-53A5112CB309}">
  <dimension ref="A1:N46"/>
  <sheetViews>
    <sheetView zoomScaleNormal="100" workbookViewId="0">
      <selection activeCell="P26" sqref="P26"/>
    </sheetView>
  </sheetViews>
  <sheetFormatPr defaultColWidth="10.90625" defaultRowHeight="24" customHeight="1"/>
  <cols>
    <col min="1" max="1" width="2.7265625" style="2" customWidth="1"/>
    <col min="2" max="2" width="18.1796875" style="2" customWidth="1"/>
    <col min="3" max="3" width="5.453125" style="5" customWidth="1"/>
    <col min="4" max="10" width="13.81640625" style="2" customWidth="1"/>
    <col min="11" max="13" width="10.7265625" style="2"/>
    <col min="14" max="14" width="7.26953125" style="2" customWidth="1"/>
  </cols>
  <sheetData>
    <row r="1" spans="1:14" ht="24" customHeight="1" thickBot="1"/>
    <row r="2" spans="1:14" s="3" customFormat="1" ht="24" customHeight="1">
      <c r="A2" s="2"/>
      <c r="B2" s="99" t="s">
        <v>13</v>
      </c>
      <c r="C2" s="105"/>
      <c r="D2" s="100"/>
      <c r="E2" s="100"/>
      <c r="F2" s="100"/>
      <c r="G2" s="100"/>
      <c r="H2" s="100"/>
      <c r="I2" s="100"/>
      <c r="J2" s="106"/>
      <c r="K2" s="4"/>
      <c r="L2" s="6" t="s">
        <v>7</v>
      </c>
      <c r="M2"/>
      <c r="N2" s="2"/>
    </row>
    <row r="3" spans="1:14" ht="24" customHeight="1">
      <c r="B3" s="47" t="s">
        <v>0</v>
      </c>
      <c r="C3" s="48" t="s">
        <v>5</v>
      </c>
      <c r="D3" s="107">
        <f>'1. LOBF Estimator'!D5</f>
        <v>10</v>
      </c>
      <c r="E3" s="107">
        <f>'1. LOBF Estimator'!E5</f>
        <v>15</v>
      </c>
      <c r="F3" s="107">
        <f>'1. LOBF Estimator'!F5</f>
        <v>20</v>
      </c>
      <c r="G3" s="107">
        <f>'1. LOBF Estimator'!G5</f>
        <v>25</v>
      </c>
      <c r="H3" s="107">
        <f>'1. LOBF Estimator'!H5</f>
        <v>30</v>
      </c>
      <c r="I3" s="107">
        <f>'1. LOBF Estimator'!I5</f>
        <v>35</v>
      </c>
      <c r="J3" s="108">
        <f>'1. LOBF Estimator'!J5</f>
        <v>40</v>
      </c>
    </row>
    <row r="4" spans="1:14" ht="24" customHeight="1">
      <c r="B4" s="26" t="s">
        <v>4</v>
      </c>
      <c r="C4" s="27" t="s">
        <v>6</v>
      </c>
      <c r="D4" s="45">
        <f>IF($M$5*D3+$M$6&lt;0,0,$M$5*D3+$M$6)</f>
        <v>26017.857142857138</v>
      </c>
      <c r="E4" s="45">
        <f t="shared" ref="E4:J4" si="0">IF($M$5*E3+$M$6&lt;0,0,$M$5*E3+$M$6)</f>
        <v>21607.142857142855</v>
      </c>
      <c r="F4" s="45">
        <f t="shared" si="0"/>
        <v>17196.428571428569</v>
      </c>
      <c r="G4" s="45">
        <f t="shared" si="0"/>
        <v>12785.714285714286</v>
      </c>
      <c r="H4" s="45">
        <f t="shared" si="0"/>
        <v>8375</v>
      </c>
      <c r="I4" s="45">
        <f t="shared" si="0"/>
        <v>3964.2857142857138</v>
      </c>
      <c r="J4" s="46">
        <f t="shared" si="0"/>
        <v>0</v>
      </c>
      <c r="L4" s="1" t="s">
        <v>8</v>
      </c>
      <c r="M4" s="1"/>
      <c r="N4" s="1"/>
    </row>
    <row r="5" spans="1:14" ht="24" customHeight="1" thickBot="1">
      <c r="B5" s="49" t="s">
        <v>1</v>
      </c>
      <c r="C5" s="50"/>
      <c r="D5" s="51">
        <f>D3*D4</f>
        <v>260178.57142857136</v>
      </c>
      <c r="E5" s="51">
        <f t="shared" ref="E5:J5" si="1">E3*E4</f>
        <v>324107.14285714284</v>
      </c>
      <c r="F5" s="51">
        <f t="shared" si="1"/>
        <v>343928.57142857136</v>
      </c>
      <c r="G5" s="51">
        <f t="shared" si="1"/>
        <v>319642.85714285716</v>
      </c>
      <c r="H5" s="51">
        <f t="shared" si="1"/>
        <v>251250</v>
      </c>
      <c r="I5" s="51">
        <f t="shared" si="1"/>
        <v>138749.99999999997</v>
      </c>
      <c r="J5" s="52">
        <f t="shared" si="1"/>
        <v>0</v>
      </c>
      <c r="L5" s="6" t="s">
        <v>2</v>
      </c>
      <c r="M5" s="2">
        <f>'1. LOBF Estimator'!L13</f>
        <v>-882.142857142857</v>
      </c>
    </row>
    <row r="6" spans="1:14" ht="24" customHeight="1">
      <c r="L6" s="6" t="s">
        <v>10</v>
      </c>
      <c r="M6" s="2">
        <f>'1. LOBF Estimator'!M13</f>
        <v>34839.28571428571</v>
      </c>
    </row>
    <row r="7" spans="1:14" ht="24" customHeight="1">
      <c r="C7" s="2"/>
    </row>
    <row r="8" spans="1:14" ht="24" customHeight="1">
      <c r="C8" s="2"/>
    </row>
    <row r="46" spans="7:7" ht="24" customHeight="1">
      <c r="G46" s="2" t="s">
        <v>9</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891F8-8995-174F-9052-4AA378D57337}">
  <dimension ref="A1:N46"/>
  <sheetViews>
    <sheetView zoomScaleNormal="100" workbookViewId="0">
      <selection activeCell="O13" sqref="O13"/>
    </sheetView>
  </sheetViews>
  <sheetFormatPr defaultColWidth="10.90625" defaultRowHeight="24" customHeight="1"/>
  <cols>
    <col min="1" max="1" width="2.7265625" style="2" customWidth="1"/>
    <col min="2" max="2" width="18.1796875" style="2" customWidth="1"/>
    <col min="3" max="3" width="5.453125" style="5" customWidth="1"/>
    <col min="4" max="10" width="13.81640625" style="2" customWidth="1"/>
    <col min="11" max="13" width="10.7265625" style="2"/>
    <col min="14" max="14" width="7.26953125" style="2" customWidth="1"/>
  </cols>
  <sheetData>
    <row r="1" spans="1:14" ht="24" customHeight="1" thickBot="1"/>
    <row r="2" spans="1:14" s="3" customFormat="1" ht="24" customHeight="1">
      <c r="A2" s="2"/>
      <c r="B2" s="99" t="s">
        <v>11</v>
      </c>
      <c r="C2" s="105"/>
      <c r="D2" s="100"/>
      <c r="E2" s="100"/>
      <c r="F2" s="100"/>
      <c r="G2" s="100"/>
      <c r="H2" s="100"/>
      <c r="I2" s="100"/>
      <c r="J2" s="106"/>
      <c r="K2" s="4"/>
      <c r="L2" s="6" t="s">
        <v>7</v>
      </c>
      <c r="M2"/>
      <c r="N2" s="2"/>
    </row>
    <row r="3" spans="1:14" ht="24" customHeight="1">
      <c r="B3" s="47" t="s">
        <v>0</v>
      </c>
      <c r="C3" s="48" t="s">
        <v>5</v>
      </c>
      <c r="D3" s="107">
        <f>'1. LOBF Estimator'!D5</f>
        <v>10</v>
      </c>
      <c r="E3" s="107">
        <f>'1. LOBF Estimator'!E5</f>
        <v>15</v>
      </c>
      <c r="F3" s="107">
        <f>'1. LOBF Estimator'!F5</f>
        <v>20</v>
      </c>
      <c r="G3" s="107">
        <f>'1. LOBF Estimator'!G5</f>
        <v>25</v>
      </c>
      <c r="H3" s="107">
        <f>'1. LOBF Estimator'!H5</f>
        <v>30</v>
      </c>
      <c r="I3" s="107">
        <f>'1. LOBF Estimator'!I5</f>
        <v>35</v>
      </c>
      <c r="J3" s="108">
        <f>'1. LOBF Estimator'!J5</f>
        <v>40</v>
      </c>
    </row>
    <row r="4" spans="1:14" ht="24" customHeight="1">
      <c r="B4" s="26" t="s">
        <v>4</v>
      </c>
      <c r="C4" s="27" t="s">
        <v>6</v>
      </c>
      <c r="D4" s="45">
        <f>IF($M$5*EXP($M$6*D3)&lt;0,0,$M$5*EXP($M$6*D3))</f>
        <v>30756.964671838243</v>
      </c>
      <c r="E4" s="45">
        <f t="shared" ref="E4:J4" si="0">IF($M$5*EXP($M$6*E3)&lt;0,0,$M$5*EXP($M$6*E3))</f>
        <v>20894.478620728689</v>
      </c>
      <c r="F4" s="45">
        <f>IF($M$5*EXP($M$6*F3)&lt;0,0,$M$5*EXP($M$6*F3))</f>
        <v>14194.483801967295</v>
      </c>
      <c r="G4" s="45">
        <f t="shared" si="0"/>
        <v>9642.900120246466</v>
      </c>
      <c r="H4" s="45">
        <f t="shared" si="0"/>
        <v>6550.8210109170677</v>
      </c>
      <c r="I4" s="45">
        <f t="shared" si="0"/>
        <v>4450.2437422296634</v>
      </c>
      <c r="J4" s="46">
        <f t="shared" si="0"/>
        <v>3023.2346956586694</v>
      </c>
      <c r="L4" s="1" t="s">
        <v>8</v>
      </c>
      <c r="M4" s="1"/>
      <c r="N4" s="1"/>
    </row>
    <row r="5" spans="1:14" ht="24" customHeight="1" thickBot="1">
      <c r="B5" s="49" t="s">
        <v>1</v>
      </c>
      <c r="C5" s="50"/>
      <c r="D5" s="51">
        <f>D3*D4</f>
        <v>307569.64671838243</v>
      </c>
      <c r="E5" s="51">
        <f t="shared" ref="E5:J5" si="1">E3*E4</f>
        <v>313417.17931093031</v>
      </c>
      <c r="F5" s="51">
        <f t="shared" si="1"/>
        <v>283889.67603934591</v>
      </c>
      <c r="G5" s="51">
        <f t="shared" si="1"/>
        <v>241072.50300616166</v>
      </c>
      <c r="H5" s="51">
        <f t="shared" si="1"/>
        <v>196524.63032751204</v>
      </c>
      <c r="I5" s="51">
        <f t="shared" si="1"/>
        <v>155758.53097803821</v>
      </c>
      <c r="J5" s="52">
        <f t="shared" si="1"/>
        <v>120929.38782634678</v>
      </c>
      <c r="L5" s="6" t="s">
        <v>19</v>
      </c>
      <c r="M5" s="2">
        <f>'1. LOBF Estimator'!N17</f>
        <v>66644.964975309311</v>
      </c>
    </row>
    <row r="6" spans="1:14" ht="24" customHeight="1">
      <c r="L6" s="6" t="s">
        <v>10</v>
      </c>
      <c r="M6" s="2">
        <f>'1. LOBF Estimator'!L17</f>
        <v>-7.7326303751479794E-2</v>
      </c>
    </row>
    <row r="7" spans="1:14" ht="24" customHeight="1">
      <c r="C7" s="2"/>
    </row>
    <row r="8" spans="1:14" ht="24" customHeight="1">
      <c r="C8" s="2"/>
    </row>
    <row r="46" spans="7:7" ht="24" customHeight="1">
      <c r="G46" s="2" t="s">
        <v>9</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20E3E-1CA8-754E-A4B3-DA6EA4A2760B}">
  <dimension ref="A1:N46"/>
  <sheetViews>
    <sheetView zoomScaleNormal="100" workbookViewId="0">
      <selection activeCell="P9" sqref="P9"/>
    </sheetView>
  </sheetViews>
  <sheetFormatPr defaultColWidth="10.90625" defaultRowHeight="24" customHeight="1"/>
  <cols>
    <col min="1" max="1" width="2.7265625" style="2" customWidth="1"/>
    <col min="2" max="2" width="18.1796875" style="2" customWidth="1"/>
    <col min="3" max="3" width="5.453125" style="5" customWidth="1"/>
    <col min="4" max="10" width="13.81640625" style="2" customWidth="1"/>
    <col min="11" max="13" width="10.7265625" style="2"/>
    <col min="14" max="14" width="7.26953125" style="2" customWidth="1"/>
  </cols>
  <sheetData>
    <row r="1" spans="1:14" ht="24" customHeight="1" thickBot="1"/>
    <row r="2" spans="1:14" s="3" customFormat="1" ht="24" customHeight="1">
      <c r="A2" s="2"/>
      <c r="B2" s="99" t="s">
        <v>3</v>
      </c>
      <c r="C2" s="105"/>
      <c r="D2" s="100"/>
      <c r="E2" s="100"/>
      <c r="F2" s="100"/>
      <c r="G2" s="100"/>
      <c r="H2" s="100"/>
      <c r="I2" s="100"/>
      <c r="J2" s="106"/>
      <c r="K2" s="4"/>
      <c r="L2" s="6" t="s">
        <v>7</v>
      </c>
      <c r="M2"/>
      <c r="N2" s="2"/>
    </row>
    <row r="3" spans="1:14" ht="24" customHeight="1">
      <c r="B3" s="47" t="s">
        <v>0</v>
      </c>
      <c r="C3" s="48" t="s">
        <v>5</v>
      </c>
      <c r="D3" s="107">
        <f>'1. LOBF Estimator'!D5</f>
        <v>10</v>
      </c>
      <c r="E3" s="107">
        <f>'1. LOBF Estimator'!E5</f>
        <v>15</v>
      </c>
      <c r="F3" s="107">
        <f>'1. LOBF Estimator'!F5</f>
        <v>20</v>
      </c>
      <c r="G3" s="107">
        <f>'1. LOBF Estimator'!G5</f>
        <v>25</v>
      </c>
      <c r="H3" s="107">
        <f>'1. LOBF Estimator'!H5</f>
        <v>30</v>
      </c>
      <c r="I3" s="107">
        <f>'1. LOBF Estimator'!I5</f>
        <v>35</v>
      </c>
      <c r="J3" s="108">
        <f>'1. LOBF Estimator'!J5</f>
        <v>40</v>
      </c>
    </row>
    <row r="4" spans="1:14" ht="24" customHeight="1">
      <c r="B4" s="26" t="s">
        <v>4</v>
      </c>
      <c r="C4" s="27" t="s">
        <v>6</v>
      </c>
      <c r="D4" s="45">
        <f>IF(($M$5*D3^$M$6)&lt;0,0,($M$5*D3^$M$6))</f>
        <v>37787.592874883405</v>
      </c>
      <c r="E4" s="45">
        <f t="shared" ref="E4:J4" si="0">IF(($M$5*E3^$M$6)&lt;0,0,($M$5*E3^$M$6))</f>
        <v>19261.927252439702</v>
      </c>
      <c r="F4" s="45">
        <f>IF(($M$5*F3^$M$6)&lt;0,0,($M$5*F3^$M$6))</f>
        <v>11941.575292407944</v>
      </c>
      <c r="G4" s="45">
        <f t="shared" si="0"/>
        <v>8241.4757527183665</v>
      </c>
      <c r="H4" s="45">
        <f t="shared" si="0"/>
        <v>6087.1237637044824</v>
      </c>
      <c r="I4" s="45">
        <f t="shared" si="0"/>
        <v>4711.4215036776286</v>
      </c>
      <c r="J4" s="46">
        <f t="shared" si="0"/>
        <v>3773.7577235048443</v>
      </c>
      <c r="L4" s="1" t="s">
        <v>8</v>
      </c>
      <c r="M4" s="1"/>
      <c r="N4" s="1"/>
    </row>
    <row r="5" spans="1:14" ht="24" customHeight="1" thickBot="1">
      <c r="B5" s="49" t="s">
        <v>1</v>
      </c>
      <c r="C5" s="50"/>
      <c r="D5" s="51">
        <f>D3*D4</f>
        <v>377875.92874883406</v>
      </c>
      <c r="E5" s="51">
        <f t="shared" ref="E5:J5" si="1">E3*E4</f>
        <v>288928.90878659551</v>
      </c>
      <c r="F5" s="51">
        <f t="shared" si="1"/>
        <v>238831.50584815888</v>
      </c>
      <c r="G5" s="51">
        <f t="shared" si="1"/>
        <v>206036.89381795915</v>
      </c>
      <c r="H5" s="51">
        <f t="shared" si="1"/>
        <v>182613.71291113447</v>
      </c>
      <c r="I5" s="51">
        <f t="shared" si="1"/>
        <v>164899.75262871699</v>
      </c>
      <c r="J5" s="52">
        <f t="shared" si="1"/>
        <v>150950.30894019376</v>
      </c>
      <c r="L5" s="6" t="s">
        <v>19</v>
      </c>
      <c r="M5" s="2">
        <f>'1. LOBF Estimator'!N21</f>
        <v>1734876.973121573</v>
      </c>
    </row>
    <row r="6" spans="1:14" ht="24" customHeight="1">
      <c r="L6" s="6" t="s">
        <v>10</v>
      </c>
      <c r="M6" s="2">
        <f>'1. LOBF Estimator'!L21</f>
        <v>-1.661919455104468</v>
      </c>
    </row>
    <row r="7" spans="1:14" ht="24" customHeight="1">
      <c r="C7" s="2"/>
    </row>
    <row r="46" spans="7:7" ht="24" customHeight="1">
      <c r="G46" s="2" t="s">
        <v>9</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36C5A-2701-5D44-939E-7A3D34EEEA15}">
  <dimension ref="A1:N46"/>
  <sheetViews>
    <sheetView zoomScaleNormal="100" workbookViewId="0">
      <selection activeCell="I46" sqref="I46"/>
    </sheetView>
  </sheetViews>
  <sheetFormatPr defaultColWidth="10.90625" defaultRowHeight="24" customHeight="1"/>
  <cols>
    <col min="1" max="1" width="2.7265625" style="2" customWidth="1"/>
    <col min="2" max="2" width="18.1796875" style="2" customWidth="1"/>
    <col min="3" max="3" width="5.453125" style="5" customWidth="1"/>
    <col min="4" max="10" width="13.81640625" style="2" customWidth="1"/>
    <col min="11" max="13" width="10.7265625" style="2"/>
    <col min="14" max="14" width="7.26953125" style="2" customWidth="1"/>
  </cols>
  <sheetData>
    <row r="1" spans="1:14" ht="24" customHeight="1" thickBot="1"/>
    <row r="2" spans="1:14" s="3" customFormat="1" ht="24" customHeight="1">
      <c r="A2" s="2"/>
      <c r="B2" s="99" t="s">
        <v>12</v>
      </c>
      <c r="C2" s="105"/>
      <c r="D2" s="100"/>
      <c r="E2" s="100"/>
      <c r="F2" s="100"/>
      <c r="G2" s="100"/>
      <c r="H2" s="100"/>
      <c r="I2" s="100"/>
      <c r="J2" s="106"/>
      <c r="K2" s="4"/>
      <c r="L2" s="6" t="s">
        <v>7</v>
      </c>
      <c r="M2"/>
      <c r="N2" s="2"/>
    </row>
    <row r="3" spans="1:14" ht="24" customHeight="1">
      <c r="B3" s="47" t="s">
        <v>0</v>
      </c>
      <c r="C3" s="48" t="s">
        <v>5</v>
      </c>
      <c r="D3" s="107">
        <f>'1. LOBF Estimator'!D5</f>
        <v>10</v>
      </c>
      <c r="E3" s="107">
        <f>'1. LOBF Estimator'!E5</f>
        <v>15</v>
      </c>
      <c r="F3" s="107">
        <f>'1. LOBF Estimator'!F5</f>
        <v>20</v>
      </c>
      <c r="G3" s="107">
        <f>'1. LOBF Estimator'!G5</f>
        <v>25</v>
      </c>
      <c r="H3" s="107">
        <f>'1. LOBF Estimator'!H5</f>
        <v>30</v>
      </c>
      <c r="I3" s="107">
        <f>'1. LOBF Estimator'!I5</f>
        <v>35</v>
      </c>
      <c r="J3" s="108">
        <f>'1. LOBF Estimator'!J5</f>
        <v>40</v>
      </c>
    </row>
    <row r="4" spans="1:14" ht="24" customHeight="1">
      <c r="B4" s="26" t="s">
        <v>4</v>
      </c>
      <c r="C4" s="27" t="s">
        <v>6</v>
      </c>
      <c r="D4" s="45">
        <f>IF($M$5*LN(D3)+$M$6&lt;0,0,$M$5*LN(D3)+$M$6)</f>
        <v>29390.279275952154</v>
      </c>
      <c r="E4" s="45">
        <f t="shared" ref="E4:J4" si="0">IF($M$5*LN(E3)+$M$6&lt;0,0,$M$5*LN(E3)+$M$6)</f>
        <v>21197.770440181615</v>
      </c>
      <c r="F4" s="45">
        <f t="shared" si="0"/>
        <v>15385.092916705857</v>
      </c>
      <c r="G4" s="45">
        <f t="shared" si="0"/>
        <v>10876.429953531217</v>
      </c>
      <c r="H4" s="45">
        <f t="shared" si="0"/>
        <v>7192.5840809353103</v>
      </c>
      <c r="I4" s="45">
        <f t="shared" si="0"/>
        <v>4077.9367752343387</v>
      </c>
      <c r="J4" s="46">
        <f t="shared" si="0"/>
        <v>1379.9065574595443</v>
      </c>
      <c r="L4" s="1" t="s">
        <v>8</v>
      </c>
      <c r="M4" s="1"/>
      <c r="N4" s="1"/>
    </row>
    <row r="5" spans="1:14" ht="24" customHeight="1" thickBot="1">
      <c r="B5" s="49" t="s">
        <v>1</v>
      </c>
      <c r="C5" s="50"/>
      <c r="D5" s="51">
        <f>D3*D4</f>
        <v>293902.79275952152</v>
      </c>
      <c r="E5" s="51">
        <f t="shared" ref="E5:J5" si="1">E3*E4</f>
        <v>317966.55660272425</v>
      </c>
      <c r="F5" s="51">
        <f t="shared" si="1"/>
        <v>307701.8583341171</v>
      </c>
      <c r="G5" s="51">
        <f t="shared" si="1"/>
        <v>271910.74883828044</v>
      </c>
      <c r="H5" s="51">
        <f t="shared" si="1"/>
        <v>215777.52242805931</v>
      </c>
      <c r="I5" s="51">
        <f t="shared" si="1"/>
        <v>142727.78713320184</v>
      </c>
      <c r="J5" s="52">
        <f t="shared" si="1"/>
        <v>55196.262298381771</v>
      </c>
      <c r="L5" s="6" t="s">
        <v>19</v>
      </c>
      <c r="M5" s="2">
        <f>'1. LOBF Estimator'!L25</f>
        <v>-20205.212907210404</v>
      </c>
    </row>
    <row r="6" spans="1:14" ht="24" customHeight="1">
      <c r="L6" s="6" t="s">
        <v>10</v>
      </c>
      <c r="M6" s="2">
        <f>'1. LOBF Estimator'!M25</f>
        <v>75914.501316865717</v>
      </c>
    </row>
    <row r="7" spans="1:14" ht="24" customHeight="1">
      <c r="C7" s="2"/>
    </row>
    <row r="46" spans="7:7" ht="24" customHeight="1">
      <c r="G46" s="2" t="s">
        <v>9</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5A7C7-6FDB-3240-8E07-10DE5604B045}">
  <dimension ref="B2:E30"/>
  <sheetViews>
    <sheetView workbookViewId="0">
      <selection activeCell="I9" sqref="I9"/>
    </sheetView>
  </sheetViews>
  <sheetFormatPr defaultColWidth="7.81640625" defaultRowHeight="24" customHeight="1"/>
  <cols>
    <col min="1" max="1" width="2.453125" style="22" customWidth="1"/>
    <col min="2" max="2" width="5.81640625" style="24" customWidth="1"/>
    <col min="3" max="3" width="19.54296875" style="24" customWidth="1"/>
    <col min="4" max="4" width="46.7265625" style="24" customWidth="1"/>
    <col min="5" max="5" width="15.54296875" style="22" customWidth="1"/>
    <col min="6" max="16384" width="7.81640625" style="22"/>
  </cols>
  <sheetData>
    <row r="2" spans="2:5" ht="24" customHeight="1">
      <c r="B2" s="128" t="s">
        <v>50</v>
      </c>
      <c r="C2" s="128"/>
      <c r="D2" s="128"/>
      <c r="E2" s="128"/>
    </row>
    <row r="3" spans="2:5" ht="24" customHeight="1" thickBot="1">
      <c r="B3" s="129"/>
      <c r="C3" s="129"/>
      <c r="D3" s="129"/>
      <c r="E3" s="61"/>
    </row>
    <row r="4" spans="2:5" ht="24" customHeight="1">
      <c r="B4" s="114" t="s">
        <v>51</v>
      </c>
      <c r="C4" s="115" t="s">
        <v>52</v>
      </c>
      <c r="D4" s="115" t="s">
        <v>53</v>
      </c>
      <c r="E4" s="116" t="s">
        <v>54</v>
      </c>
    </row>
    <row r="5" spans="2:5" ht="24" customHeight="1">
      <c r="B5" s="54">
        <v>1</v>
      </c>
      <c r="C5" s="109" t="s">
        <v>55</v>
      </c>
      <c r="D5" s="110" t="s">
        <v>56</v>
      </c>
      <c r="E5" s="111">
        <v>2500</v>
      </c>
    </row>
    <row r="6" spans="2:5" ht="24" customHeight="1">
      <c r="B6" s="54">
        <v>2</v>
      </c>
      <c r="C6" s="109" t="s">
        <v>57</v>
      </c>
      <c r="D6" s="110" t="s">
        <v>58</v>
      </c>
      <c r="E6" s="111">
        <v>5000</v>
      </c>
    </row>
    <row r="7" spans="2:5" ht="24" customHeight="1">
      <c r="B7" s="54">
        <v>3</v>
      </c>
      <c r="C7" s="109" t="s">
        <v>59</v>
      </c>
      <c r="D7" s="110" t="s">
        <v>60</v>
      </c>
      <c r="E7" s="111">
        <v>2000</v>
      </c>
    </row>
    <row r="8" spans="2:5" ht="24" customHeight="1">
      <c r="B8" s="54">
        <v>4</v>
      </c>
      <c r="C8" s="109" t="s">
        <v>61</v>
      </c>
      <c r="D8" s="110" t="s">
        <v>62</v>
      </c>
      <c r="E8" s="111">
        <v>15000</v>
      </c>
    </row>
    <row r="9" spans="2:5" ht="24" customHeight="1">
      <c r="B9" s="55">
        <v>5</v>
      </c>
      <c r="C9" s="112" t="s">
        <v>63</v>
      </c>
      <c r="D9" s="110" t="s">
        <v>64</v>
      </c>
      <c r="E9" s="113">
        <v>10000</v>
      </c>
    </row>
    <row r="10" spans="2:5" ht="24" customHeight="1">
      <c r="B10" s="55">
        <v>6</v>
      </c>
      <c r="C10" s="112" t="s">
        <v>65</v>
      </c>
      <c r="D10" s="110" t="s">
        <v>66</v>
      </c>
      <c r="E10" s="113">
        <v>25000</v>
      </c>
    </row>
    <row r="11" spans="2:5" ht="24" customHeight="1">
      <c r="B11" s="55">
        <v>7</v>
      </c>
      <c r="C11" s="112" t="s">
        <v>67</v>
      </c>
      <c r="D11" s="110" t="s">
        <v>68</v>
      </c>
      <c r="E11" s="113">
        <v>1500</v>
      </c>
    </row>
    <row r="12" spans="2:5" ht="24" customHeight="1">
      <c r="B12" s="54">
        <v>8</v>
      </c>
      <c r="C12" s="109"/>
      <c r="D12" s="110"/>
      <c r="E12" s="111"/>
    </row>
    <row r="13" spans="2:5" ht="24" customHeight="1">
      <c r="B13" s="54">
        <v>9</v>
      </c>
      <c r="C13" s="109"/>
      <c r="D13" s="110"/>
      <c r="E13" s="111"/>
    </row>
    <row r="14" spans="2:5" ht="24" customHeight="1">
      <c r="B14" s="54">
        <v>10</v>
      </c>
      <c r="C14" s="109"/>
      <c r="D14" s="110"/>
      <c r="E14" s="111"/>
    </row>
    <row r="15" spans="2:5" ht="24" customHeight="1" thickBot="1">
      <c r="B15" s="130" t="s">
        <v>69</v>
      </c>
      <c r="C15" s="131"/>
      <c r="D15" s="132"/>
      <c r="E15" s="56">
        <f>SUM(E5:E14)</f>
        <v>61000</v>
      </c>
    </row>
    <row r="17" spans="2:5" ht="24" customHeight="1">
      <c r="B17" s="128" t="s">
        <v>70</v>
      </c>
      <c r="C17" s="128"/>
      <c r="D17" s="128"/>
      <c r="E17" s="128"/>
    </row>
    <row r="18" spans="2:5" ht="24" customHeight="1" thickBot="1"/>
    <row r="19" spans="2:5" ht="24" customHeight="1">
      <c r="B19" s="114" t="s">
        <v>51</v>
      </c>
      <c r="C19" s="115" t="s">
        <v>52</v>
      </c>
      <c r="D19" s="115" t="s">
        <v>53</v>
      </c>
      <c r="E19" s="116" t="s">
        <v>71</v>
      </c>
    </row>
    <row r="20" spans="2:5" ht="24" customHeight="1">
      <c r="B20" s="54">
        <v>1</v>
      </c>
      <c r="C20" s="109" t="s">
        <v>72</v>
      </c>
      <c r="D20" s="110" t="s">
        <v>73</v>
      </c>
      <c r="E20" s="111">
        <v>0.05</v>
      </c>
    </row>
    <row r="21" spans="2:5" ht="24" customHeight="1">
      <c r="B21" s="54">
        <v>2</v>
      </c>
      <c r="C21" s="109" t="s">
        <v>74</v>
      </c>
      <c r="D21" s="110" t="s">
        <v>73</v>
      </c>
      <c r="E21" s="111">
        <v>0.2</v>
      </c>
    </row>
    <row r="22" spans="2:5" ht="24" customHeight="1">
      <c r="B22" s="54">
        <v>3</v>
      </c>
      <c r="C22" s="109" t="s">
        <v>75</v>
      </c>
      <c r="D22" s="110" t="s">
        <v>73</v>
      </c>
      <c r="E22" s="111">
        <v>0.5</v>
      </c>
    </row>
    <row r="23" spans="2:5" ht="24" customHeight="1">
      <c r="B23" s="54">
        <v>4</v>
      </c>
      <c r="C23" s="109" t="s">
        <v>76</v>
      </c>
      <c r="D23" s="110" t="s">
        <v>73</v>
      </c>
      <c r="E23" s="111">
        <v>0.1</v>
      </c>
    </row>
    <row r="24" spans="2:5" ht="24" customHeight="1">
      <c r="B24" s="55">
        <v>5</v>
      </c>
      <c r="C24" s="112" t="s">
        <v>77</v>
      </c>
      <c r="D24" s="110" t="s">
        <v>78</v>
      </c>
      <c r="E24" s="113">
        <v>1</v>
      </c>
    </row>
    <row r="25" spans="2:5" ht="24" customHeight="1">
      <c r="B25" s="55">
        <v>6</v>
      </c>
      <c r="C25" s="112" t="s">
        <v>67</v>
      </c>
      <c r="D25" s="110" t="s">
        <v>79</v>
      </c>
      <c r="E25" s="113">
        <v>0.25</v>
      </c>
    </row>
    <row r="26" spans="2:5" ht="24" customHeight="1">
      <c r="B26" s="55">
        <v>7</v>
      </c>
      <c r="C26" s="112"/>
      <c r="D26" s="110"/>
      <c r="E26" s="113"/>
    </row>
    <row r="27" spans="2:5" ht="24" customHeight="1">
      <c r="B27" s="54">
        <v>8</v>
      </c>
      <c r="C27" s="109"/>
      <c r="D27" s="110"/>
      <c r="E27" s="111"/>
    </row>
    <row r="28" spans="2:5" ht="24" customHeight="1">
      <c r="B28" s="54">
        <v>9</v>
      </c>
      <c r="C28" s="109"/>
      <c r="D28" s="110"/>
      <c r="E28" s="111"/>
    </row>
    <row r="29" spans="2:5" ht="24" customHeight="1">
      <c r="B29" s="54">
        <v>10</v>
      </c>
      <c r="C29" s="109"/>
      <c r="D29" s="110"/>
      <c r="E29" s="111"/>
    </row>
    <row r="30" spans="2:5" ht="24" customHeight="1" thickBot="1">
      <c r="B30" s="58" t="s">
        <v>80</v>
      </c>
      <c r="C30" s="59"/>
      <c r="D30" s="60"/>
      <c r="E30" s="56">
        <f>SUM(E20:E29)</f>
        <v>2.1</v>
      </c>
    </row>
  </sheetData>
  <mergeCells count="4">
    <mergeCell ref="B2:E2"/>
    <mergeCell ref="B3:D3"/>
    <mergeCell ref="B15:D15"/>
    <mergeCell ref="B17:E1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2823A-55D3-7944-BF36-592B79E8BF32}">
  <dimension ref="B2:I25"/>
  <sheetViews>
    <sheetView workbookViewId="0">
      <selection activeCell="J29" sqref="J29"/>
    </sheetView>
  </sheetViews>
  <sheetFormatPr defaultColWidth="7.81640625" defaultRowHeight="24" customHeight="1"/>
  <cols>
    <col min="1" max="1" width="2.453125" style="53" customWidth="1"/>
    <col min="2" max="2" width="20.1796875" style="53" customWidth="1"/>
    <col min="3" max="8" width="12.7265625" style="57" customWidth="1"/>
    <col min="9" max="9" width="12.7265625" style="53" customWidth="1"/>
    <col min="10" max="16384" width="7.81640625" style="53"/>
  </cols>
  <sheetData>
    <row r="2" spans="2:9" ht="24" customHeight="1">
      <c r="B2" s="128" t="s">
        <v>81</v>
      </c>
      <c r="C2" s="128"/>
      <c r="D2" s="128"/>
      <c r="E2" s="128"/>
      <c r="F2" s="128"/>
      <c r="G2" s="128"/>
      <c r="H2" s="128"/>
      <c r="I2" s="128"/>
    </row>
    <row r="3" spans="2:9" ht="24" customHeight="1" thickBot="1">
      <c r="C3" s="53"/>
      <c r="D3" s="53"/>
      <c r="E3" s="53"/>
      <c r="F3" s="53"/>
      <c r="G3" s="53"/>
      <c r="H3" s="53"/>
    </row>
    <row r="4" spans="2:9" ht="24" customHeight="1">
      <c r="B4" s="117"/>
      <c r="C4" s="118">
        <v>1</v>
      </c>
      <c r="D4" s="118">
        <v>2</v>
      </c>
      <c r="E4" s="118">
        <v>3</v>
      </c>
      <c r="F4" s="118">
        <v>4</v>
      </c>
      <c r="G4" s="118">
        <v>5</v>
      </c>
      <c r="H4" s="118">
        <v>6</v>
      </c>
      <c r="I4" s="119">
        <v>7</v>
      </c>
    </row>
    <row r="5" spans="2:9" ht="24" customHeight="1">
      <c r="B5" s="62" t="s">
        <v>82</v>
      </c>
      <c r="C5" s="120">
        <f>'2b. Exponential LOBF'!D4</f>
        <v>30756.964671838243</v>
      </c>
      <c r="D5" s="120">
        <f>'2b. Exponential LOBF'!E4</f>
        <v>20894.478620728689</v>
      </c>
      <c r="E5" s="120">
        <f>'2b. Exponential LOBF'!F4</f>
        <v>14194.483801967295</v>
      </c>
      <c r="F5" s="120">
        <f>'2b. Exponential LOBF'!G4</f>
        <v>9642.900120246466</v>
      </c>
      <c r="G5" s="120">
        <f>'2b. Exponential LOBF'!H4</f>
        <v>6550.8210109170677</v>
      </c>
      <c r="H5" s="120">
        <f>'2b. Exponential LOBF'!I4</f>
        <v>4450.2437422296634</v>
      </c>
      <c r="I5" s="121">
        <f>'2b. Exponential LOBF'!J4</f>
        <v>3023.2346956586694</v>
      </c>
    </row>
    <row r="6" spans="2:9" ht="24" customHeight="1">
      <c r="B6" s="62" t="s">
        <v>89</v>
      </c>
      <c r="C6" s="63">
        <f>C12*C5</f>
        <v>64589.625810860314</v>
      </c>
      <c r="D6" s="63">
        <f t="shared" ref="D6:I6" si="0">D12*D5</f>
        <v>43878.405103530247</v>
      </c>
      <c r="E6" s="63">
        <f t="shared" si="0"/>
        <v>29808.415984131319</v>
      </c>
      <c r="F6" s="63">
        <f t="shared" si="0"/>
        <v>20250.090252517581</v>
      </c>
      <c r="G6" s="63">
        <f t="shared" si="0"/>
        <v>13756.724122925843</v>
      </c>
      <c r="H6" s="63">
        <f t="shared" si="0"/>
        <v>9345.5118586822937</v>
      </c>
      <c r="I6" s="71">
        <f t="shared" si="0"/>
        <v>6348.7928608832062</v>
      </c>
    </row>
    <row r="7" spans="2:9" ht="24" customHeight="1">
      <c r="B7" s="62" t="s">
        <v>86</v>
      </c>
      <c r="C7" s="63">
        <f>'3. Cost Calculation'!$E$15</f>
        <v>61000</v>
      </c>
      <c r="D7" s="63">
        <f>'3. Cost Calculation'!$E$15</f>
        <v>61000</v>
      </c>
      <c r="E7" s="63">
        <f>'3. Cost Calculation'!$E$15</f>
        <v>61000</v>
      </c>
      <c r="F7" s="63">
        <f>'3. Cost Calculation'!$E$15</f>
        <v>61000</v>
      </c>
      <c r="G7" s="63">
        <f>'3. Cost Calculation'!$E$15</f>
        <v>61000</v>
      </c>
      <c r="H7" s="63">
        <f>'3. Cost Calculation'!$E$15</f>
        <v>61000</v>
      </c>
      <c r="I7" s="71">
        <f>'3. Cost Calculation'!$E$15</f>
        <v>61000</v>
      </c>
    </row>
    <row r="8" spans="2:9" ht="24" customHeight="1" thickBot="1">
      <c r="B8" s="64" t="s">
        <v>90</v>
      </c>
      <c r="C8" s="65">
        <f>SUM(C6:C7)</f>
        <v>125589.62581086031</v>
      </c>
      <c r="D8" s="65">
        <f t="shared" ref="D8:I8" si="1">SUM(D6:D7)</f>
        <v>104878.40510353024</v>
      </c>
      <c r="E8" s="65">
        <f t="shared" si="1"/>
        <v>90808.415984131323</v>
      </c>
      <c r="F8" s="65">
        <f t="shared" si="1"/>
        <v>81250.090252517577</v>
      </c>
      <c r="G8" s="65">
        <f t="shared" si="1"/>
        <v>74756.724122925836</v>
      </c>
      <c r="H8" s="65">
        <f t="shared" ref="H8" si="2">SUM(H6:H7)</f>
        <v>70345.511858682294</v>
      </c>
      <c r="I8" s="72">
        <f t="shared" si="1"/>
        <v>67348.792860883201</v>
      </c>
    </row>
    <row r="9" spans="2:9" ht="24" customHeight="1" thickBot="1">
      <c r="C9" s="53"/>
      <c r="D9" s="53"/>
      <c r="E9" s="53"/>
      <c r="F9" s="53"/>
      <c r="G9" s="53"/>
      <c r="H9" s="53"/>
    </row>
    <row r="10" spans="2:9" ht="24" customHeight="1">
      <c r="B10" s="117"/>
      <c r="C10" s="118">
        <v>1</v>
      </c>
      <c r="D10" s="118">
        <v>2</v>
      </c>
      <c r="E10" s="118">
        <v>3</v>
      </c>
      <c r="F10" s="118">
        <v>4</v>
      </c>
      <c r="G10" s="118">
        <v>5</v>
      </c>
      <c r="H10" s="118">
        <v>6</v>
      </c>
      <c r="I10" s="119">
        <v>7</v>
      </c>
    </row>
    <row r="11" spans="2:9" s="22" customFormat="1" ht="24" customHeight="1">
      <c r="B11" s="62" t="s">
        <v>82</v>
      </c>
      <c r="C11" s="74">
        <f>C5</f>
        <v>30756.964671838243</v>
      </c>
      <c r="D11" s="74">
        <f t="shared" ref="D11:I11" si="3">D5</f>
        <v>20894.478620728689</v>
      </c>
      <c r="E11" s="74">
        <f t="shared" si="3"/>
        <v>14194.483801967295</v>
      </c>
      <c r="F11" s="74">
        <f t="shared" si="3"/>
        <v>9642.900120246466</v>
      </c>
      <c r="G11" s="74">
        <f t="shared" si="3"/>
        <v>6550.8210109170677</v>
      </c>
      <c r="H11" s="74">
        <f t="shared" si="3"/>
        <v>4450.2437422296634</v>
      </c>
      <c r="I11" s="76">
        <f t="shared" si="3"/>
        <v>3023.2346956586694</v>
      </c>
    </row>
    <row r="12" spans="2:9" s="22" customFormat="1" ht="24" customHeight="1">
      <c r="B12" s="62" t="s">
        <v>70</v>
      </c>
      <c r="C12" s="63">
        <f>'3. Cost Calculation'!$E$30</f>
        <v>2.1</v>
      </c>
      <c r="D12" s="63">
        <f>'3. Cost Calculation'!$E$30</f>
        <v>2.1</v>
      </c>
      <c r="E12" s="63">
        <f>'3. Cost Calculation'!$E$30</f>
        <v>2.1</v>
      </c>
      <c r="F12" s="63">
        <f>'3. Cost Calculation'!$E$30</f>
        <v>2.1</v>
      </c>
      <c r="G12" s="63">
        <f>'3. Cost Calculation'!$E$30</f>
        <v>2.1</v>
      </c>
      <c r="H12" s="63">
        <f>'3. Cost Calculation'!$E$30</f>
        <v>2.1</v>
      </c>
      <c r="I12" s="71">
        <f>'3. Cost Calculation'!$E$30</f>
        <v>2.1</v>
      </c>
    </row>
    <row r="13" spans="2:9" s="22" customFormat="1" ht="24" customHeight="1">
      <c r="B13" s="62" t="s">
        <v>83</v>
      </c>
      <c r="C13" s="63">
        <f>'3. Cost Calculation'!$E$15/'4. Breakeven Analysis'!C11</f>
        <v>1.9832906351728832</v>
      </c>
      <c r="D13" s="63">
        <f>'3. Cost Calculation'!$E$15/'4. Breakeven Analysis'!D11</f>
        <v>2.9194315449194321</v>
      </c>
      <c r="E13" s="63">
        <f>'3. Cost Calculation'!$E$15/'4. Breakeven Analysis'!E11</f>
        <v>4.2974440529880811</v>
      </c>
      <c r="F13" s="63">
        <f>'3. Cost Calculation'!$E$15/'4. Breakeven Analysis'!F11</f>
        <v>6.325897731940926</v>
      </c>
      <c r="G13" s="63">
        <f>'3. Cost Calculation'!$E$15/'4. Breakeven Analysis'!G11</f>
        <v>9.3118099087644648</v>
      </c>
      <c r="H13" s="63">
        <f>'3. Cost Calculation'!$E$15/'4. Breakeven Analysis'!H11</f>
        <v>13.707114381433353</v>
      </c>
      <c r="I13" s="71">
        <f>'3. Cost Calculation'!$E$15/'4. Breakeven Analysis'!I11</f>
        <v>20.177064019407858</v>
      </c>
    </row>
    <row r="14" spans="2:9" s="22" customFormat="1" ht="24" customHeight="1" thickBot="1">
      <c r="B14" s="64" t="s">
        <v>84</v>
      </c>
      <c r="C14" s="65">
        <f t="shared" ref="C14:I14" si="4">SUM(C12:C13)</f>
        <v>4.083290635172883</v>
      </c>
      <c r="D14" s="65">
        <f t="shared" si="4"/>
        <v>5.0194315449194322</v>
      </c>
      <c r="E14" s="65">
        <f t="shared" si="4"/>
        <v>6.3974440529880816</v>
      </c>
      <c r="F14" s="65">
        <f t="shared" si="4"/>
        <v>8.4258977319409265</v>
      </c>
      <c r="G14" s="65">
        <f t="shared" si="4"/>
        <v>11.411809908764464</v>
      </c>
      <c r="H14" s="65">
        <f t="shared" ref="H14" si="5">SUM(H12:H13)</f>
        <v>15.807114381433353</v>
      </c>
      <c r="I14" s="72">
        <f t="shared" si="4"/>
        <v>22.27706401940786</v>
      </c>
    </row>
    <row r="15" spans="2:9" ht="24" customHeight="1" thickBot="1"/>
    <row r="16" spans="2:9" ht="24" customHeight="1">
      <c r="B16" s="117"/>
      <c r="C16" s="118">
        <v>1</v>
      </c>
      <c r="D16" s="118">
        <v>2</v>
      </c>
      <c r="E16" s="118">
        <v>3</v>
      </c>
      <c r="F16" s="118">
        <v>4</v>
      </c>
      <c r="G16" s="118">
        <v>5</v>
      </c>
      <c r="H16" s="118">
        <v>6</v>
      </c>
      <c r="I16" s="119">
        <v>7</v>
      </c>
    </row>
    <row r="17" spans="2:9" ht="24" customHeight="1">
      <c r="B17" s="62" t="s">
        <v>85</v>
      </c>
      <c r="C17" s="122">
        <f>'2b. Exponential LOBF'!D3</f>
        <v>10</v>
      </c>
      <c r="D17" s="122">
        <f>'2b. Exponential LOBF'!E3</f>
        <v>15</v>
      </c>
      <c r="E17" s="122">
        <f>'2b. Exponential LOBF'!F3</f>
        <v>20</v>
      </c>
      <c r="F17" s="122">
        <f>'2b. Exponential LOBF'!G3</f>
        <v>25</v>
      </c>
      <c r="G17" s="122">
        <f>'2b. Exponential LOBF'!H3</f>
        <v>30</v>
      </c>
      <c r="H17" s="122">
        <f>'2b. Exponential LOBF'!I3</f>
        <v>35</v>
      </c>
      <c r="I17" s="123">
        <f>'2b. Exponential LOBF'!J3</f>
        <v>40</v>
      </c>
    </row>
    <row r="18" spans="2:9" ht="24" customHeight="1">
      <c r="B18" s="62" t="s">
        <v>70</v>
      </c>
      <c r="C18" s="63">
        <f>'3. Cost Calculation'!$E$30</f>
        <v>2.1</v>
      </c>
      <c r="D18" s="63">
        <f>'3. Cost Calculation'!$E$30</f>
        <v>2.1</v>
      </c>
      <c r="E18" s="63">
        <f>'3. Cost Calculation'!$E$30</f>
        <v>2.1</v>
      </c>
      <c r="F18" s="63">
        <f>'3. Cost Calculation'!$E$30</f>
        <v>2.1</v>
      </c>
      <c r="G18" s="63">
        <f>'3. Cost Calculation'!$E$30</f>
        <v>2.1</v>
      </c>
      <c r="H18" s="63">
        <f>'3. Cost Calculation'!$E$30</f>
        <v>2.1</v>
      </c>
      <c r="I18" s="75">
        <f>'3. Cost Calculation'!$E$30</f>
        <v>2.1</v>
      </c>
    </row>
    <row r="19" spans="2:9" ht="24" customHeight="1">
      <c r="B19" s="62" t="s">
        <v>86</v>
      </c>
      <c r="C19" s="63">
        <f>'3. Cost Calculation'!$E$15</f>
        <v>61000</v>
      </c>
      <c r="D19" s="63">
        <f>'3. Cost Calculation'!$E$15</f>
        <v>61000</v>
      </c>
      <c r="E19" s="63">
        <f>'3. Cost Calculation'!$E$15</f>
        <v>61000</v>
      </c>
      <c r="F19" s="63">
        <f>'3. Cost Calculation'!$E$15</f>
        <v>61000</v>
      </c>
      <c r="G19" s="63">
        <f>'3. Cost Calculation'!$E$15</f>
        <v>61000</v>
      </c>
      <c r="H19" s="63">
        <f>'3. Cost Calculation'!$E$15</f>
        <v>61000</v>
      </c>
      <c r="I19" s="75">
        <f>'3. Cost Calculation'!$E$15</f>
        <v>61000</v>
      </c>
    </row>
    <row r="20" spans="2:9" ht="24" customHeight="1">
      <c r="B20" s="66" t="s">
        <v>87</v>
      </c>
      <c r="C20" s="67">
        <f t="shared" ref="C20:I20" si="6">C19/(1-(C18/C17))</f>
        <v>77215.189873417723</v>
      </c>
      <c r="D20" s="67">
        <f t="shared" si="6"/>
        <v>70930.232558139542</v>
      </c>
      <c r="E20" s="67">
        <f t="shared" si="6"/>
        <v>68156.424581005587</v>
      </c>
      <c r="F20" s="67">
        <f t="shared" si="6"/>
        <v>66593.886462882088</v>
      </c>
      <c r="G20" s="67">
        <f t="shared" si="6"/>
        <v>65591.397849462373</v>
      </c>
      <c r="H20" s="67">
        <f t="shared" ref="H20" si="7">H19/(1-(H18/H17))</f>
        <v>64893.617021276601</v>
      </c>
      <c r="I20" s="73">
        <f t="shared" si="6"/>
        <v>64379.94722955145</v>
      </c>
    </row>
    <row r="21" spans="2:9" ht="24" customHeight="1" thickBot="1">
      <c r="B21" s="64" t="s">
        <v>88</v>
      </c>
      <c r="C21" s="68">
        <f t="shared" ref="C21:I21" si="8">ROUNDUP(C19/(C17-C18),0)</f>
        <v>7722</v>
      </c>
      <c r="D21" s="68">
        <f t="shared" si="8"/>
        <v>4729</v>
      </c>
      <c r="E21" s="68">
        <f t="shared" si="8"/>
        <v>3408</v>
      </c>
      <c r="F21" s="68">
        <f t="shared" si="8"/>
        <v>2664</v>
      </c>
      <c r="G21" s="68">
        <f t="shared" si="8"/>
        <v>2187</v>
      </c>
      <c r="H21" s="68">
        <f t="shared" ref="H21" si="9">ROUNDUP(H19/(H17-H18),0)</f>
        <v>1855</v>
      </c>
      <c r="I21" s="69">
        <f t="shared" si="8"/>
        <v>1610</v>
      </c>
    </row>
    <row r="24" spans="2:9" ht="24" customHeight="1">
      <c r="I24" s="57"/>
    </row>
    <row r="25" spans="2:9" ht="24" customHeight="1">
      <c r="C25" s="70"/>
      <c r="D25" s="70"/>
      <c r="E25" s="70"/>
      <c r="F25" s="70"/>
      <c r="G25" s="70"/>
      <c r="H25" s="70"/>
      <c r="I25" s="70"/>
    </row>
  </sheetData>
  <mergeCells count="1">
    <mergeCell ref="B2:I2"/>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C4EAC-F989-C543-97BF-4E338F89827C}">
  <dimension ref="A2:J24"/>
  <sheetViews>
    <sheetView workbookViewId="0">
      <selection activeCell="G21" sqref="G21"/>
    </sheetView>
  </sheetViews>
  <sheetFormatPr defaultColWidth="7.81640625" defaultRowHeight="24" customHeight="1"/>
  <cols>
    <col min="1" max="1" width="2.453125" style="53" customWidth="1"/>
    <col min="2" max="2" width="20.1796875" style="53" customWidth="1"/>
    <col min="3" max="8" width="12.7265625" style="57" customWidth="1"/>
    <col min="9" max="9" width="12.7265625" style="53" customWidth="1"/>
    <col min="10" max="16384" width="7.81640625" style="53"/>
  </cols>
  <sheetData>
    <row r="2" spans="1:10" ht="24" customHeight="1">
      <c r="B2" s="128" t="s">
        <v>91</v>
      </c>
      <c r="C2" s="128"/>
      <c r="D2" s="128"/>
      <c r="E2" s="128"/>
      <c r="F2" s="128"/>
      <c r="G2" s="128"/>
      <c r="H2" s="128"/>
      <c r="I2" s="128"/>
    </row>
    <row r="3" spans="1:10" ht="24" customHeight="1" thickBot="1">
      <c r="C3" s="53"/>
      <c r="D3" s="53"/>
      <c r="E3" s="53"/>
      <c r="F3" s="53"/>
      <c r="G3" s="53"/>
      <c r="H3" s="53"/>
    </row>
    <row r="4" spans="1:10" ht="24" customHeight="1">
      <c r="B4" s="117"/>
      <c r="C4" s="118">
        <v>1</v>
      </c>
      <c r="D4" s="118">
        <v>2</v>
      </c>
      <c r="E4" s="118">
        <v>3</v>
      </c>
      <c r="F4" s="118">
        <v>4</v>
      </c>
      <c r="G4" s="118">
        <v>5</v>
      </c>
      <c r="H4" s="118">
        <v>6</v>
      </c>
      <c r="I4" s="119">
        <v>7</v>
      </c>
    </row>
    <row r="5" spans="1:10" ht="24" customHeight="1">
      <c r="B5" s="77" t="s">
        <v>82</v>
      </c>
      <c r="C5" s="120">
        <f>'2b. Exponential LOBF'!D4</f>
        <v>30756.964671838243</v>
      </c>
      <c r="D5" s="120">
        <f>'2b. Exponential LOBF'!E4</f>
        <v>20894.478620728689</v>
      </c>
      <c r="E5" s="120">
        <f>'2b. Exponential LOBF'!F4</f>
        <v>14194.483801967295</v>
      </c>
      <c r="F5" s="120">
        <f>'2b. Exponential LOBF'!G4</f>
        <v>9642.900120246466</v>
      </c>
      <c r="G5" s="120">
        <f>'2b. Exponential LOBF'!H4</f>
        <v>6550.8210109170677</v>
      </c>
      <c r="H5" s="120">
        <f>'2b. Exponential LOBF'!I4</f>
        <v>4450.2437422296634</v>
      </c>
      <c r="I5" s="121">
        <f>'2b. Exponential LOBF'!J4</f>
        <v>3023.2346956586694</v>
      </c>
    </row>
    <row r="6" spans="1:10" ht="24" customHeight="1">
      <c r="B6" s="62" t="s">
        <v>0</v>
      </c>
      <c r="C6" s="122">
        <f>'4. Breakeven Analysis'!C17</f>
        <v>10</v>
      </c>
      <c r="D6" s="122">
        <f>'4. Breakeven Analysis'!D17</f>
        <v>15</v>
      </c>
      <c r="E6" s="122">
        <f>'4. Breakeven Analysis'!E17</f>
        <v>20</v>
      </c>
      <c r="F6" s="122">
        <f>'4. Breakeven Analysis'!F17</f>
        <v>25</v>
      </c>
      <c r="G6" s="122">
        <f>'4. Breakeven Analysis'!G17</f>
        <v>30</v>
      </c>
      <c r="H6" s="122">
        <f>'4. Breakeven Analysis'!H17</f>
        <v>35</v>
      </c>
      <c r="I6" s="124">
        <f>'4. Breakeven Analysis'!I17</f>
        <v>40</v>
      </c>
    </row>
    <row r="7" spans="1:10" ht="24" customHeight="1" thickBot="1">
      <c r="B7" s="78" t="s">
        <v>1</v>
      </c>
      <c r="C7" s="79">
        <f>C5*C6</f>
        <v>307569.64671838243</v>
      </c>
      <c r="D7" s="79">
        <f t="shared" ref="D7:I7" si="0">D5*D6</f>
        <v>313417.17931093031</v>
      </c>
      <c r="E7" s="79">
        <f t="shared" si="0"/>
        <v>283889.67603934591</v>
      </c>
      <c r="F7" s="79">
        <f t="shared" si="0"/>
        <v>241072.50300616166</v>
      </c>
      <c r="G7" s="79">
        <f t="shared" si="0"/>
        <v>196524.63032751204</v>
      </c>
      <c r="H7" s="79">
        <f t="shared" si="0"/>
        <v>155758.53097803821</v>
      </c>
      <c r="I7" s="80">
        <f t="shared" si="0"/>
        <v>120929.38782634678</v>
      </c>
    </row>
    <row r="8" spans="1:10" ht="24" customHeight="1">
      <c r="B8" s="81" t="s">
        <v>70</v>
      </c>
      <c r="C8" s="82">
        <f>C5*'3. Cost Calculation'!$E$30</f>
        <v>64589.625810860314</v>
      </c>
      <c r="D8" s="82">
        <f>D5*'3. Cost Calculation'!$E$30</f>
        <v>43878.405103530247</v>
      </c>
      <c r="E8" s="82">
        <f>E5*'3. Cost Calculation'!$E$30</f>
        <v>29808.415984131319</v>
      </c>
      <c r="F8" s="82">
        <f>F5*'3. Cost Calculation'!$E$30</f>
        <v>20250.090252517581</v>
      </c>
      <c r="G8" s="82">
        <f>G5*'3. Cost Calculation'!$E$30</f>
        <v>13756.724122925843</v>
      </c>
      <c r="H8" s="82">
        <f>H5*'3. Cost Calculation'!$E$30</f>
        <v>9345.5118586822937</v>
      </c>
      <c r="I8" s="83">
        <f>I5*'3. Cost Calculation'!$E$30</f>
        <v>6348.7928608832062</v>
      </c>
    </row>
    <row r="9" spans="1:10" ht="24" customHeight="1">
      <c r="B9" s="62" t="s">
        <v>50</v>
      </c>
      <c r="C9" s="63">
        <f>'3. Cost Calculation'!$E$15</f>
        <v>61000</v>
      </c>
      <c r="D9" s="63">
        <f>'3. Cost Calculation'!$E$15</f>
        <v>61000</v>
      </c>
      <c r="E9" s="63">
        <f>'3. Cost Calculation'!$E$15</f>
        <v>61000</v>
      </c>
      <c r="F9" s="63">
        <f>'3. Cost Calculation'!$E$15</f>
        <v>61000</v>
      </c>
      <c r="G9" s="63">
        <f>'3. Cost Calculation'!$E$15</f>
        <v>61000</v>
      </c>
      <c r="H9" s="63">
        <f>'3. Cost Calculation'!$E$15</f>
        <v>61000</v>
      </c>
      <c r="I9" s="71">
        <f>'3. Cost Calculation'!$E$15</f>
        <v>61000</v>
      </c>
    </row>
    <row r="10" spans="1:10" ht="24" customHeight="1" thickBot="1">
      <c r="B10" s="78" t="s">
        <v>93</v>
      </c>
      <c r="C10" s="79">
        <f>SUM(C8:C9)</f>
        <v>125589.62581086031</v>
      </c>
      <c r="D10" s="79">
        <f t="shared" ref="D10:I10" si="1">SUM(D8:D9)</f>
        <v>104878.40510353024</v>
      </c>
      <c r="E10" s="79">
        <f t="shared" si="1"/>
        <v>90808.415984131323</v>
      </c>
      <c r="F10" s="79">
        <f t="shared" si="1"/>
        <v>81250.090252517577</v>
      </c>
      <c r="G10" s="79">
        <f t="shared" si="1"/>
        <v>74756.724122925836</v>
      </c>
      <c r="H10" s="79">
        <f t="shared" si="1"/>
        <v>70345.511858682294</v>
      </c>
      <c r="I10" s="80">
        <f t="shared" si="1"/>
        <v>67348.792860883201</v>
      </c>
    </row>
    <row r="11" spans="1:10" ht="24" customHeight="1" thickBot="1">
      <c r="B11" s="84" t="s">
        <v>92</v>
      </c>
      <c r="C11" s="85">
        <f>C7-C10</f>
        <v>181980.02090752212</v>
      </c>
      <c r="D11" s="85">
        <f t="shared" ref="D11:I11" si="2">D7-D10</f>
        <v>208538.77420740007</v>
      </c>
      <c r="E11" s="85">
        <f t="shared" si="2"/>
        <v>193081.26005521457</v>
      </c>
      <c r="F11" s="85">
        <f t="shared" si="2"/>
        <v>159822.41275364408</v>
      </c>
      <c r="G11" s="85">
        <f t="shared" si="2"/>
        <v>121767.90620458621</v>
      </c>
      <c r="H11" s="85">
        <f t="shared" si="2"/>
        <v>85413.019119355915</v>
      </c>
      <c r="I11" s="86">
        <f t="shared" si="2"/>
        <v>53580.594965463577</v>
      </c>
    </row>
    <row r="12" spans="1:10" s="22" customFormat="1" ht="24" customHeight="1">
      <c r="A12" s="53"/>
      <c r="B12" s="53"/>
      <c r="C12" s="53"/>
      <c r="D12" s="53"/>
      <c r="E12" s="53"/>
      <c r="F12" s="53"/>
      <c r="G12" s="53"/>
      <c r="H12" s="53"/>
      <c r="I12" s="53"/>
      <c r="J12" s="53"/>
    </row>
    <row r="13" spans="1:10" s="22" customFormat="1" ht="24" customHeight="1">
      <c r="A13" s="53"/>
      <c r="B13" s="53"/>
      <c r="C13" s="53"/>
      <c r="D13" s="53"/>
      <c r="E13" s="53"/>
      <c r="F13" s="53"/>
      <c r="G13" s="53"/>
      <c r="H13" s="53"/>
      <c r="I13" s="53"/>
      <c r="J13" s="53"/>
    </row>
    <row r="14" spans="1:10" ht="24" customHeight="1">
      <c r="C14" s="53"/>
      <c r="D14" s="53"/>
      <c r="E14" s="53"/>
      <c r="F14" s="53"/>
      <c r="G14" s="53"/>
      <c r="H14" s="53"/>
    </row>
    <row r="15" spans="1:10" ht="24" customHeight="1">
      <c r="C15" s="53"/>
      <c r="D15" s="53"/>
      <c r="E15" s="53"/>
      <c r="F15" s="53"/>
      <c r="G15" s="53"/>
      <c r="H15" s="53"/>
    </row>
    <row r="16" spans="1:10" ht="24" customHeight="1">
      <c r="C16" s="53"/>
      <c r="D16" s="53"/>
      <c r="E16" s="53"/>
      <c r="F16" s="53"/>
      <c r="G16" s="53"/>
      <c r="H16" s="53"/>
    </row>
    <row r="17" spans="3:9" ht="24" customHeight="1">
      <c r="C17" s="53"/>
      <c r="D17" s="53"/>
      <c r="E17" s="53"/>
      <c r="F17" s="53"/>
      <c r="G17" s="53"/>
      <c r="H17" s="53"/>
    </row>
    <row r="18" spans="3:9" ht="24" customHeight="1">
      <c r="C18" s="53"/>
      <c r="D18" s="53"/>
      <c r="E18" s="53"/>
      <c r="F18" s="53"/>
      <c r="G18" s="53"/>
      <c r="H18" s="53"/>
    </row>
    <row r="19" spans="3:9" ht="24" customHeight="1">
      <c r="C19" s="53"/>
      <c r="D19" s="53"/>
      <c r="E19" s="53"/>
      <c r="F19" s="53"/>
      <c r="G19" s="53"/>
      <c r="H19" s="53"/>
    </row>
    <row r="20" spans="3:9" ht="24" customHeight="1">
      <c r="C20" s="53"/>
      <c r="D20" s="53"/>
      <c r="E20" s="53"/>
      <c r="F20" s="53"/>
      <c r="G20" s="53"/>
      <c r="H20" s="53"/>
    </row>
    <row r="21" spans="3:9" ht="24" customHeight="1">
      <c r="C21" s="53"/>
      <c r="D21" s="53"/>
      <c r="E21" s="53"/>
      <c r="F21" s="53"/>
      <c r="G21" s="53"/>
      <c r="H21" s="53"/>
    </row>
    <row r="23" spans="3:9" ht="24" customHeight="1">
      <c r="I23" s="57"/>
    </row>
    <row r="24" spans="3:9" ht="24" customHeight="1">
      <c r="C24" s="70"/>
      <c r="D24" s="70"/>
      <c r="E24" s="70"/>
      <c r="F24" s="70"/>
      <c r="G24" s="70"/>
      <c r="H24" s="70"/>
      <c r="I24" s="70"/>
    </row>
  </sheetData>
  <mergeCells count="1">
    <mergeCell ref="B2:I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0. Document Details</vt:lpstr>
      <vt:lpstr>1. LOBF Estimator</vt:lpstr>
      <vt:lpstr>2a. Linear LOBF</vt:lpstr>
      <vt:lpstr>2b. Exponential LOBF</vt:lpstr>
      <vt:lpstr>2c. Power LOBF</vt:lpstr>
      <vt:lpstr>2d. Logarithmic LOBF</vt:lpstr>
      <vt:lpstr>3. Cost Calculation</vt:lpstr>
      <vt:lpstr>4. Breakeven Analysis</vt:lpstr>
      <vt:lpstr>5. Gross Margin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Jaibeer Singh</cp:lastModifiedBy>
  <dcterms:created xsi:type="dcterms:W3CDTF">2022-08-13T06:51:42Z</dcterms:created>
  <dcterms:modified xsi:type="dcterms:W3CDTF">2024-05-11T02:54:31Z</dcterms:modified>
</cp:coreProperties>
</file>
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https://api.box.com/wopi/files/1527215953509/WOPIServiceId_TP_BOX_2/WOPIUserId_-/"/>
    </mc:Choice>
  </mc:AlternateContent>
  <xr:revisionPtr revIDLastSave="2" documentId="13_ncr:1_{58256031-3321-DC42-BDF5-50E4F850B5FF}" xr6:coauthVersionLast="47" xr6:coauthVersionMax="47" xr10:uidLastSave="{0455C5CD-6F0C-4EBD-99B4-FDF0AE20D082}"/>
  <bookViews>
    <workbookView xWindow="-108" yWindow="-108" windowWidth="23256" windowHeight="13896" activeTab="2" xr2:uid="{5CD4C015-C755-A847-BF74-056123C85707}"/>
  </bookViews>
  <sheets>
    <sheet name="0. Document Details" sheetId="1" r:id="rId1"/>
    <sheet name="1. Checklist" sheetId="2" r:id="rId2"/>
    <sheet name="2. Product Overview" sheetId="3" r:id="rId3"/>
    <sheet name="3a. Unit Economics - Revenue" sheetId="6" r:id="rId4"/>
    <sheet name="3b. Unit Economics - Costs" sheetId="9" r:id="rId5"/>
    <sheet name="3c. Unit Economics - Breakeven" sheetId="10" r:id="rId6"/>
    <sheet name="4. Launch Calendar" sheetId="8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0" l="1"/>
  <c r="B2" i="9"/>
  <c r="B2" i="6"/>
  <c r="D6" i="10"/>
  <c r="C6" i="10"/>
  <c r="F5" i="10"/>
  <c r="E5" i="10"/>
  <c r="D5" i="10"/>
  <c r="C5" i="10"/>
  <c r="D7" i="6"/>
  <c r="C7" i="6"/>
  <c r="D6" i="6"/>
  <c r="D5" i="6"/>
  <c r="E5" i="6" s="1"/>
  <c r="F5" i="6" s="1"/>
  <c r="E32" i="9"/>
  <c r="E17" i="9"/>
  <c r="C10" i="10" s="1"/>
  <c r="D10" i="10" l="1"/>
  <c r="C23" i="10"/>
  <c r="D23" i="10"/>
  <c r="C22" i="10"/>
  <c r="I10" i="10"/>
  <c r="H10" i="10"/>
  <c r="D11" i="10"/>
  <c r="D12" i="10" s="1"/>
  <c r="D16" i="10" s="1"/>
  <c r="E10" i="10"/>
  <c r="E23" i="10" s="1"/>
  <c r="F10" i="10"/>
  <c r="F23" i="10" s="1"/>
  <c r="G10" i="10"/>
  <c r="G23" i="10" s="1"/>
  <c r="C7" i="10"/>
  <c r="C15" i="10" s="1"/>
  <c r="D22" i="10"/>
  <c r="C11" i="10"/>
  <c r="C12" i="10" s="1"/>
  <c r="D7" i="10"/>
  <c r="D15" i="10" s="1"/>
  <c r="E6" i="6"/>
  <c r="E6" i="10" s="1"/>
  <c r="E11" i="10" s="1"/>
  <c r="G5" i="6"/>
  <c r="G5" i="10" s="1"/>
  <c r="C16" i="10" l="1"/>
  <c r="D21" i="10"/>
  <c r="C21" i="10"/>
  <c r="E21" i="10"/>
  <c r="E12" i="10"/>
  <c r="E16" i="10" s="1"/>
  <c r="E22" i="10"/>
  <c r="E7" i="10"/>
  <c r="E15" i="10" s="1"/>
  <c r="D17" i="10"/>
  <c r="D18" i="10" s="1"/>
  <c r="C17" i="10"/>
  <c r="C18" i="10" s="1"/>
  <c r="F6" i="6"/>
  <c r="F6" i="10" s="1"/>
  <c r="E7" i="6"/>
  <c r="H5" i="6"/>
  <c r="H5" i="10" s="1"/>
  <c r="H23" i="10" s="1"/>
  <c r="E17" i="10" l="1"/>
  <c r="E18" i="10" s="1"/>
  <c r="F11" i="10"/>
  <c r="F12" i="10" s="1"/>
  <c r="F22" i="10"/>
  <c r="F7" i="10"/>
  <c r="F15" i="10" s="1"/>
  <c r="I5" i="6"/>
  <c r="I5" i="10" s="1"/>
  <c r="I23" i="10" s="1"/>
  <c r="G6" i="6"/>
  <c r="G6" i="10" s="1"/>
  <c r="F7" i="6"/>
  <c r="F16" i="10" l="1"/>
  <c r="F21" i="10"/>
  <c r="G22" i="10"/>
  <c r="G11" i="10"/>
  <c r="G12" i="10" s="1"/>
  <c r="G16" i="10" s="1"/>
  <c r="G7" i="10"/>
  <c r="G15" i="10" s="1"/>
  <c r="G17" i="10" s="1"/>
  <c r="G18" i="10" s="1"/>
  <c r="F17" i="10"/>
  <c r="F18" i="10" s="1"/>
  <c r="H6" i="6"/>
  <c r="H6" i="10" s="1"/>
  <c r="G7" i="6"/>
  <c r="G21" i="10" l="1"/>
  <c r="H22" i="10"/>
  <c r="H11" i="10"/>
  <c r="H12" i="10" s="1"/>
  <c r="H16" i="10" s="1"/>
  <c r="H7" i="10"/>
  <c r="H15" i="10" s="1"/>
  <c r="I6" i="6"/>
  <c r="H7" i="6"/>
  <c r="H21" i="10" l="1"/>
  <c r="H17" i="10"/>
  <c r="H18" i="10" s="1"/>
  <c r="I7" i="6"/>
  <c r="I6" i="10"/>
  <c r="I11" i="10" l="1"/>
  <c r="I12" i="10" s="1"/>
  <c r="I22" i="10"/>
  <c r="I7" i="10"/>
  <c r="I15" i="10" s="1"/>
  <c r="I16" i="10" l="1"/>
  <c r="I21" i="10"/>
  <c r="I17" i="10"/>
  <c r="I18" i="10" s="1"/>
  <c r="B2" i="8" l="1"/>
  <c r="C7" i="1"/>
</calcChain>
</file>

<file path=xl/sharedStrings.xml><?xml version="1.0" encoding="utf-8"?>
<sst xmlns="http://schemas.openxmlformats.org/spreadsheetml/2006/main" count="133" uniqueCount="86">
  <si>
    <t>Task</t>
  </si>
  <si>
    <t>Current Status</t>
  </si>
  <si>
    <t>Completion Date</t>
  </si>
  <si>
    <t>1. Key Project Details</t>
  </si>
  <si>
    <t>2. Project Description</t>
  </si>
  <si>
    <t>4. Schedule and Milestones</t>
  </si>
  <si>
    <t>Soonest Possible Start:</t>
  </si>
  <si>
    <t>Soonest Possible End:</t>
  </si>
  <si>
    <t>Latest Possible Start:</t>
  </si>
  <si>
    <t>Latest Possible End:</t>
  </si>
  <si>
    <t>Milestone</t>
  </si>
  <si>
    <t>Planned Start</t>
  </si>
  <si>
    <t>Actual Start</t>
  </si>
  <si>
    <t>6. Completion Criteria</t>
  </si>
  <si>
    <t>3.1 Inclusions</t>
  </si>
  <si>
    <t>3.2 Exclusions</t>
  </si>
  <si>
    <t>4.1 Project Timeline</t>
  </si>
  <si>
    <t>4.2 Key Milestones</t>
  </si>
  <si>
    <t>Planned End</t>
  </si>
  <si>
    <t>Actual End</t>
  </si>
  <si>
    <t>5.1 Known Risks</t>
  </si>
  <si>
    <t>Name</t>
  </si>
  <si>
    <t>Year 1</t>
  </si>
  <si>
    <t>Phase 1: Describe phase here</t>
  </si>
  <si>
    <t>Phase 2: Describe phase here</t>
  </si>
  <si>
    <t>Phase 3: Describe phase here</t>
  </si>
  <si>
    <t>Owner</t>
  </si>
  <si>
    <t>Due Date</t>
  </si>
  <si>
    <t>Status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</si>
  <si>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</si>
  <si>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</si>
  <si>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</si>
  <si>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</si>
  <si>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</si>
  <si>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</si>
  <si>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</si>
  <si>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</si>
  <si>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</si>
  <si>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Wk10</t>
  </si>
  <si>
    <t>Document owner</t>
  </si>
  <si>
    <t>Last updated</t>
  </si>
  <si>
    <t>Document version</t>
  </si>
  <si>
    <t>1.0</t>
  </si>
  <si>
    <t>Joe Bloggs</t>
  </si>
  <si>
    <t>Document details</t>
  </si>
  <si>
    <t>Product Business Case v1.0</t>
  </si>
  <si>
    <t>Product Overview</t>
  </si>
  <si>
    <t>Product Name</t>
  </si>
  <si>
    <t>Product Manager</t>
  </si>
  <si>
    <t>Funding Source</t>
  </si>
  <si>
    <t>Estimated Benefits</t>
  </si>
  <si>
    <t>3. Product Scope</t>
  </si>
  <si>
    <t>5. Risks of Proposed Product (if applicable)</t>
  </si>
  <si>
    <t>Product Description</t>
  </si>
  <si>
    <t>Estimated Budget</t>
  </si>
  <si>
    <t>Target Customer(s)</t>
  </si>
  <si>
    <t>Customer Need(s)</t>
  </si>
  <si>
    <t>Tasks</t>
  </si>
  <si>
    <t>[Example Product]</t>
  </si>
  <si>
    <t>Item</t>
  </si>
  <si>
    <t>Description</t>
  </si>
  <si>
    <t>Cost</t>
  </si>
  <si>
    <t>Total fixed costs</t>
  </si>
  <si>
    <t>Variable Costs</t>
  </si>
  <si>
    <t>Cost per unit</t>
  </si>
  <si>
    <t>Total variable costs (per unit)</t>
  </si>
  <si>
    <t>Selling Price</t>
  </si>
  <si>
    <t>Breakeven Units</t>
  </si>
  <si>
    <t>Quantity Sold</t>
  </si>
  <si>
    <t>Revenue</t>
  </si>
  <si>
    <t>Year 2</t>
  </si>
  <si>
    <t>Year 3</t>
  </si>
  <si>
    <t>Year 4</t>
  </si>
  <si>
    <t>Year 5</t>
  </si>
  <si>
    <t>Year 6</t>
  </si>
  <si>
    <t>Year 7</t>
  </si>
  <si>
    <t>Fixed Costs</t>
  </si>
  <si>
    <t>Total Cost</t>
  </si>
  <si>
    <t>Breakeven Price</t>
  </si>
  <si>
    <t>Total Revenue</t>
  </si>
  <si>
    <t>Total Costs</t>
  </si>
  <si>
    <t>Gross Profit</t>
  </si>
  <si>
    <t>Frequency</t>
  </si>
  <si>
    <t>Signed Off</t>
  </si>
  <si>
    <t>Gross Profit Margin</t>
  </si>
  <si>
    <t>Cumulative Breakeven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</si>
</sst>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1009]d\-mmm\-yy;@"/>
    <numFmt numFmtId="168" formatCode="_(* #,##0_);_(* \(#,##0\);_(* &quot;-&quot;??_);_(@_)"/>
    <numFmt numFmtId="169" formatCode="_(&quot;$&quot;* #,##0_);_(&quot;$&quot;* \(#,##0\);_(&quot;$&quot;* &quot;-&quot;??_);_(@_)"/>
  </numFmts>
  <fonts count="14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name val="Arial"/>
      <family val="2"/>
    </font>
    <font>
      <b/>
      <sz val="12"/>
      <color theme="0"/>
      <name val="Arial (Body)"/>
    </font>
    <font>
      <sz val="12"/>
      <name val="Arial (Body)"/>
    </font>
    <font>
      <sz val="12"/>
      <color theme="1"/>
      <name val="Arial (Body)"/>
    </font>
    <font>
      <b/>
      <sz val="12"/>
      <name val="Arial (Body)"/>
    </font>
    <font>
      <sz val="12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8"/>
      <name val="Arial"/>
      <family val="2"/>
      <scheme val="minor"/>
    </font>
    <font>
      <b/>
      <sz val="20"/>
      <name val="Arial"/>
      <family val="2"/>
      <scheme val="minor"/>
    </font>
    <font>
      <i/>
      <sz val="12"/>
      <name val="Arial (Body)"/>
    </font>
    <font>
      <sz val="12"/>
      <color rgb="FF0432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2" borderId="0"/>
    <xf numFmtId="166" fontId="1" fillId="0" borderId="0" applyFont="0" applyFill="0" applyBorder="0" applyAlignment="0" applyProtection="0"/>
    <xf numFmtId="0" fontId="2" fillId="2" borderId="0"/>
    <xf numFmtId="0" fontId="2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2" borderId="0" applyNumberFormat="0" applyBorder="0" applyAlignment="0" applyProtection="0"/>
  </cellStyleXfs>
  <cellXfs count="176">
    <xf numFmtId="0" fontId="0" fillId="2" borderId="0" xfId="0"/>
    <xf numFmtId="0" fontId="4" fillId="2" borderId="0" xfId="2" applyFont="1"/>
    <xf numFmtId="0" fontId="5" fillId="2" borderId="0" xfId="0" applyFont="1"/>
    <xf numFmtId="167" fontId="4" fillId="2" borderId="5" xfId="2" applyNumberFormat="1" applyFont="1" applyBorder="1" applyAlignment="1">
      <alignment horizontal="center" vertical="center"/>
    </xf>
    <xf numFmtId="14" fontId="4" fillId="2" borderId="5" xfId="2" applyNumberFormat="1" applyFont="1" applyBorder="1" applyAlignment="1">
      <alignment horizontal="center" vertical="center"/>
    </xf>
    <xf numFmtId="0" fontId="4" fillId="2" borderId="6" xfId="2" applyFont="1" applyBorder="1" applyAlignment="1">
      <alignment horizontal="center" vertical="center" wrapText="1"/>
    </xf>
    <xf numFmtId="0" fontId="4" fillId="2" borderId="0" xfId="2" applyFont="1" applyAlignment="1">
      <alignment vertical="center"/>
    </xf>
    <xf numFmtId="167" fontId="4" fillId="2" borderId="8" xfId="2" applyNumberFormat="1" applyFont="1" applyBorder="1" applyAlignment="1">
      <alignment horizontal="center" vertical="center"/>
    </xf>
    <xf numFmtId="14" fontId="4" fillId="2" borderId="8" xfId="2" applyNumberFormat="1" applyFont="1" applyBorder="1" applyAlignment="1">
      <alignment horizontal="center" vertical="center"/>
    </xf>
    <xf numFmtId="0" fontId="4" fillId="2" borderId="10" xfId="2" applyFont="1" applyBorder="1" applyAlignment="1">
      <alignment horizontal="center" vertical="center" wrapText="1"/>
    </xf>
    <xf numFmtId="167" fontId="4" fillId="2" borderId="9" xfId="2" applyNumberFormat="1" applyFont="1" applyBorder="1" applyAlignment="1">
      <alignment horizontal="center" vertical="center"/>
    </xf>
    <xf numFmtId="14" fontId="4" fillId="2" borderId="9" xfId="2" applyNumberFormat="1" applyFont="1" applyBorder="1" applyAlignment="1">
      <alignment horizontal="center" vertical="center"/>
    </xf>
    <xf numFmtId="0" fontId="4" fillId="2" borderId="12" xfId="2" applyFont="1" applyBorder="1" applyAlignment="1">
      <alignment horizontal="center" vertical="center" wrapText="1"/>
    </xf>
    <xf numFmtId="0" fontId="7" fillId="2" borderId="0" xfId="2" applyFont="1"/>
    <xf numFmtId="0" fontId="7" fillId="3" borderId="0" xfId="2" applyFont="1" applyFill="1"/>
    <xf numFmtId="0" fontId="8" fillId="3" borderId="0" xfId="2" applyFont="1" applyFill="1" applyAlignment="1">
      <alignment horizontal="left" vertical="center"/>
    </xf>
    <xf numFmtId="0" fontId="7" fillId="2" borderId="6" xfId="2" applyFont="1" applyBorder="1" applyAlignment="1">
      <alignment horizontal="left" vertical="center" wrapText="1"/>
    </xf>
    <xf numFmtId="14" fontId="7" fillId="2" borderId="6" xfId="2" applyNumberFormat="1" applyFont="1" applyBorder="1" applyAlignment="1">
      <alignment horizontal="left" vertical="center" wrapText="1"/>
    </xf>
    <xf numFmtId="0" fontId="7" fillId="2" borderId="12" xfId="2" applyFont="1" applyBorder="1" applyAlignment="1">
      <alignment horizontal="left" vertical="center" wrapText="1"/>
    </xf>
    <xf numFmtId="0" fontId="7" fillId="2" borderId="5" xfId="2" applyFont="1" applyBorder="1"/>
    <xf numFmtId="0" fontId="7" fillId="2" borderId="14" xfId="2" applyFont="1" applyBorder="1"/>
    <xf numFmtId="0" fontId="7" fillId="2" borderId="6" xfId="2" applyFont="1" applyBorder="1"/>
    <xf numFmtId="0" fontId="7" fillId="2" borderId="9" xfId="2" applyFont="1" applyBorder="1"/>
    <xf numFmtId="0" fontId="7" fillId="2" borderId="17" xfId="2" applyFont="1" applyBorder="1"/>
    <xf numFmtId="0" fontId="7" fillId="2" borderId="12" xfId="2" applyFont="1" applyBorder="1"/>
    <xf numFmtId="0" fontId="6" fillId="4" borderId="4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left" vertical="center" wrapText="1"/>
    </xf>
    <xf numFmtId="0" fontId="6" fillId="4" borderId="7" xfId="2" applyFont="1" applyFill="1" applyBorder="1" applyAlignment="1">
      <alignment horizontal="center" vertical="center"/>
    </xf>
    <xf numFmtId="0" fontId="4" fillId="4" borderId="8" xfId="2" applyFont="1" applyFill="1" applyBorder="1" applyAlignment="1">
      <alignment horizontal="left" vertical="center" wrapText="1"/>
    </xf>
    <xf numFmtId="0" fontId="6" fillId="4" borderId="11" xfId="2" applyFont="1" applyFill="1" applyBorder="1" applyAlignment="1">
      <alignment horizontal="center" vertical="center"/>
    </xf>
    <xf numFmtId="0" fontId="4" fillId="4" borderId="9" xfId="2" applyFont="1" applyFill="1" applyBorder="1" applyAlignment="1">
      <alignment horizontal="left" vertical="center" wrapText="1"/>
    </xf>
    <xf numFmtId="0" fontId="7" fillId="4" borderId="4" xfId="2" applyFont="1" applyFill="1" applyBorder="1" applyAlignment="1">
      <alignment horizontal="right" vertical="center" wrapText="1"/>
    </xf>
    <xf numFmtId="0" fontId="9" fillId="4" borderId="5" xfId="2" applyFont="1" applyFill="1" applyBorder="1" applyAlignment="1">
      <alignment horizontal="center" vertical="center" wrapText="1"/>
    </xf>
    <xf numFmtId="0" fontId="9" fillId="4" borderId="14" xfId="2" applyFont="1" applyFill="1" applyBorder="1" applyAlignment="1">
      <alignment horizontal="center" vertical="center" wrapText="1"/>
    </xf>
    <xf numFmtId="0" fontId="9" fillId="4" borderId="6" xfId="2" applyFont="1" applyFill="1" applyBorder="1" applyAlignment="1">
      <alignment horizontal="center" vertical="center" wrapText="1"/>
    </xf>
    <xf numFmtId="0" fontId="7" fillId="2" borderId="0" xfId="2" applyFont="1" applyAlignment="1">
      <alignment vertical="center"/>
    </xf>
    <xf numFmtId="0" fontId="4" fillId="3" borderId="0" xfId="2" applyFont="1" applyFill="1" applyAlignment="1">
      <alignment vertical="center"/>
    </xf>
    <xf numFmtId="0" fontId="5" fillId="2" borderId="0" xfId="0" applyFont="1" applyAlignment="1">
      <alignment vertical="center"/>
    </xf>
    <xf numFmtId="0" fontId="7" fillId="3" borderId="0" xfId="3" applyFont="1" applyFill="1" applyAlignment="1">
      <alignment horizontal="center" vertical="center" wrapText="1"/>
    </xf>
    <xf numFmtId="0" fontId="7" fillId="0" borderId="4" xfId="3" applyFont="1" applyBorder="1" applyAlignment="1" applyProtection="1">
      <alignment horizontal="center" vertical="center"/>
      <protection locked="0"/>
    </xf>
    <xf numFmtId="0" fontId="7" fillId="0" borderId="5" xfId="3" applyFont="1" applyBorder="1" applyAlignment="1" applyProtection="1">
      <alignment horizontal="center" vertical="center" wrapText="1"/>
      <protection locked="0"/>
    </xf>
    <xf numFmtId="0" fontId="7" fillId="0" borderId="11" xfId="3" applyFont="1" applyBorder="1" applyAlignment="1" applyProtection="1">
      <alignment horizontal="center" vertical="center"/>
      <protection locked="0"/>
    </xf>
    <xf numFmtId="0" fontId="7" fillId="0" borderId="9" xfId="3" applyFont="1" applyBorder="1" applyAlignment="1" applyProtection="1">
      <alignment horizontal="center" vertical="center" wrapText="1"/>
      <protection locked="0"/>
    </xf>
    <xf numFmtId="0" fontId="7" fillId="3" borderId="0" xfId="3" applyFont="1" applyFill="1" applyAlignment="1">
      <alignment vertical="center"/>
    </xf>
    <xf numFmtId="0" fontId="7" fillId="3" borderId="0" xfId="3" applyFont="1" applyFill="1" applyAlignment="1">
      <alignment horizontal="left" vertical="center" wrapText="1"/>
    </xf>
    <xf numFmtId="0" fontId="7" fillId="0" borderId="6" xfId="3" applyFont="1" applyBorder="1" applyAlignment="1" applyProtection="1">
      <alignment horizontal="center" vertical="center" wrapText="1"/>
      <protection locked="0"/>
    </xf>
    <xf numFmtId="0" fontId="4" fillId="4" borderId="21" xfId="2" applyFont="1" applyFill="1" applyBorder="1" applyAlignment="1">
      <alignment horizontal="left" vertical="center" wrapText="1"/>
    </xf>
    <xf numFmtId="0" fontId="4" fillId="4" borderId="18" xfId="2" applyFont="1" applyFill="1" applyBorder="1" applyAlignment="1">
      <alignment horizontal="left" vertical="center" wrapText="1"/>
    </xf>
    <xf numFmtId="0" fontId="4" fillId="2" borderId="25" xfId="2" applyFont="1" applyBorder="1"/>
    <xf numFmtId="0" fontId="4" fillId="2" borderId="25" xfId="2" applyFont="1" applyBorder="1" applyAlignment="1">
      <alignment vertical="center"/>
    </xf>
    <xf numFmtId="49" fontId="4" fillId="2" borderId="6" xfId="2" applyNumberFormat="1" applyFont="1" applyBorder="1" applyAlignment="1">
      <alignment horizontal="right" vertical="center" wrapText="1"/>
    </xf>
    <xf numFmtId="14" fontId="4" fillId="2" borderId="12" xfId="2" applyNumberFormat="1" applyFont="1" applyBorder="1" applyAlignment="1">
      <alignment horizontal="right" vertical="center" wrapText="1"/>
    </xf>
    <xf numFmtId="0" fontId="4" fillId="4" borderId="27" xfId="2" applyFont="1" applyFill="1" applyBorder="1" applyAlignment="1">
      <alignment horizontal="left" vertical="center" wrapText="1"/>
    </xf>
    <xf numFmtId="0" fontId="4" fillId="2" borderId="28" xfId="2" applyFont="1" applyBorder="1" applyAlignment="1">
      <alignment horizontal="right" vertical="center" wrapText="1"/>
    </xf>
    <xf numFmtId="0" fontId="11" fillId="2" borderId="0" xfId="2" applyFont="1" applyAlignment="1">
      <alignment vertical="center"/>
    </xf>
    <xf numFmtId="0" fontId="7" fillId="2" borderId="10" xfId="2" applyFont="1" applyBorder="1" applyAlignment="1">
      <alignment horizontal="left" vertical="center" wrapText="1"/>
    </xf>
    <xf numFmtId="0" fontId="6" fillId="3" borderId="4" xfId="2" applyFont="1" applyFill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0" fontId="6" fillId="4" borderId="22" xfId="2" applyFont="1" applyFill="1" applyBorder="1" applyAlignment="1">
      <alignment horizontal="left" vertical="center"/>
    </xf>
    <xf numFmtId="0" fontId="6" fillId="4" borderId="23" xfId="2" applyFont="1" applyFill="1" applyBorder="1" applyAlignment="1">
      <alignment horizontal="left" vertical="center"/>
    </xf>
    <xf numFmtId="0" fontId="6" fillId="4" borderId="18" xfId="2" applyFont="1" applyFill="1" applyBorder="1" applyAlignment="1">
      <alignment horizontal="left" vertical="center"/>
    </xf>
    <xf numFmtId="165" fontId="4" fillId="2" borderId="12" xfId="4" applyFont="1" applyFill="1" applyBorder="1" applyAlignment="1">
      <alignment horizontal="center" vertical="center" wrapText="1"/>
    </xf>
    <xf numFmtId="0" fontId="4" fillId="2" borderId="0" xfId="2" applyFont="1" applyAlignment="1">
      <alignment horizontal="left" vertical="center"/>
    </xf>
    <xf numFmtId="0" fontId="4" fillId="3" borderId="4" xfId="2" applyFont="1" applyFill="1" applyBorder="1" applyAlignment="1">
      <alignment vertical="center"/>
    </xf>
    <xf numFmtId="0" fontId="6" fillId="4" borderId="22" xfId="2" applyFont="1" applyFill="1" applyBorder="1" applyAlignment="1">
      <alignment vertical="center"/>
    </xf>
    <xf numFmtId="169" fontId="6" fillId="4" borderId="9" xfId="4" applyNumberFormat="1" applyFont="1" applyFill="1" applyBorder="1" applyAlignment="1">
      <alignment vertical="center"/>
    </xf>
    <xf numFmtId="169" fontId="6" fillId="4" borderId="12" xfId="4" applyNumberFormat="1" applyFont="1" applyFill="1" applyBorder="1" applyAlignment="1">
      <alignment horizontal="center" vertical="center" wrapText="1"/>
    </xf>
    <xf numFmtId="164" fontId="4" fillId="3" borderId="21" xfId="4" applyNumberFormat="1" applyFont="1" applyFill="1" applyBorder="1" applyAlignment="1">
      <alignment horizontal="right" vertical="center"/>
    </xf>
    <xf numFmtId="168" fontId="4" fillId="3" borderId="21" xfId="1" applyNumberFormat="1" applyFont="1" applyFill="1" applyBorder="1" applyAlignment="1">
      <alignment horizontal="right" vertical="center"/>
    </xf>
    <xf numFmtId="169" fontId="4" fillId="3" borderId="21" xfId="4" applyNumberFormat="1" applyFont="1" applyFill="1" applyBorder="1" applyAlignment="1">
      <alignment horizontal="right" vertical="center"/>
    </xf>
    <xf numFmtId="165" fontId="4" fillId="3" borderId="21" xfId="4" applyFont="1" applyFill="1" applyBorder="1" applyAlignment="1">
      <alignment horizontal="right" vertical="center"/>
    </xf>
    <xf numFmtId="164" fontId="4" fillId="3" borderId="16" xfId="4" applyNumberFormat="1" applyFont="1" applyFill="1" applyBorder="1" applyAlignment="1">
      <alignment horizontal="right" vertical="center"/>
    </xf>
    <xf numFmtId="169" fontId="4" fillId="3" borderId="16" xfId="4" applyNumberFormat="1" applyFont="1" applyFill="1" applyBorder="1" applyAlignment="1">
      <alignment horizontal="right" vertical="center"/>
    </xf>
    <xf numFmtId="169" fontId="6" fillId="4" borderId="12" xfId="4" applyNumberFormat="1" applyFont="1" applyFill="1" applyBorder="1" applyAlignment="1">
      <alignment vertical="center"/>
    </xf>
    <xf numFmtId="165" fontId="4" fillId="3" borderId="16" xfId="4" applyFont="1" applyFill="1" applyBorder="1" applyAlignment="1">
      <alignment horizontal="right" vertical="center"/>
    </xf>
    <xf numFmtId="0" fontId="4" fillId="3" borderId="11" xfId="2" applyFont="1" applyFill="1" applyBorder="1" applyAlignment="1">
      <alignment vertical="center"/>
    </xf>
    <xf numFmtId="168" fontId="4" fillId="3" borderId="16" xfId="1" applyNumberFormat="1" applyFont="1" applyFill="1" applyBorder="1" applyAlignment="1">
      <alignment horizontal="right" vertical="center"/>
    </xf>
    <xf numFmtId="168" fontId="4" fillId="3" borderId="18" xfId="1" applyNumberFormat="1" applyFont="1" applyFill="1" applyBorder="1" applyAlignment="1">
      <alignment horizontal="right" vertical="center"/>
    </xf>
    <xf numFmtId="168" fontId="4" fillId="3" borderId="19" xfId="1" applyNumberFormat="1" applyFont="1" applyFill="1" applyBorder="1" applyAlignment="1">
      <alignment horizontal="right" vertical="center"/>
    </xf>
    <xf numFmtId="0" fontId="6" fillId="4" borderId="4" xfId="2" applyFont="1" applyFill="1" applyBorder="1" applyAlignment="1">
      <alignment vertical="center"/>
    </xf>
    <xf numFmtId="169" fontId="6" fillId="4" borderId="21" xfId="4" applyNumberFormat="1" applyFont="1" applyFill="1" applyBorder="1" applyAlignment="1">
      <alignment horizontal="right" vertical="center"/>
    </xf>
    <xf numFmtId="0" fontId="12" fillId="4" borderId="11" xfId="2" applyFont="1" applyFill="1" applyBorder="1" applyAlignment="1">
      <alignment vertical="center"/>
    </xf>
    <xf numFmtId="9" fontId="12" fillId="4" borderId="18" xfId="5" applyFont="1" applyFill="1" applyBorder="1" applyAlignment="1">
      <alignment horizontal="right" vertical="center"/>
    </xf>
    <xf numFmtId="0" fontId="7" fillId="5" borderId="5" xfId="3" applyFont="1" applyFill="1" applyBorder="1" applyAlignment="1" applyProtection="1">
      <alignment horizontal="center" vertical="center" wrapText="1"/>
      <protection locked="0"/>
    </xf>
    <xf numFmtId="0" fontId="7" fillId="5" borderId="6" xfId="3" applyFont="1" applyFill="1" applyBorder="1" applyAlignment="1" applyProtection="1">
      <alignment horizontal="center" vertical="center" wrapText="1"/>
      <protection locked="0"/>
    </xf>
    <xf numFmtId="0" fontId="7" fillId="5" borderId="9" xfId="3" applyFont="1" applyFill="1" applyBorder="1" applyAlignment="1" applyProtection="1">
      <alignment horizontal="center" vertical="center" wrapText="1"/>
      <protection locked="0"/>
    </xf>
    <xf numFmtId="0" fontId="7" fillId="5" borderId="12" xfId="3" applyFont="1" applyFill="1" applyBorder="1" applyAlignment="1" applyProtection="1">
      <alignment horizontal="center" vertical="center" wrapText="1"/>
      <protection locked="0"/>
    </xf>
    <xf numFmtId="0" fontId="3" fillId="6" borderId="1" xfId="2" applyFont="1" applyFill="1" applyBorder="1" applyAlignment="1">
      <alignment horizontal="left" vertical="center"/>
    </xf>
    <xf numFmtId="0" fontId="3" fillId="6" borderId="2" xfId="2" applyFont="1" applyFill="1" applyBorder="1" applyAlignment="1">
      <alignment horizontal="center" vertical="center" wrapText="1"/>
    </xf>
    <xf numFmtId="0" fontId="3" fillId="6" borderId="2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 wrapText="1"/>
    </xf>
    <xf numFmtId="0" fontId="7" fillId="5" borderId="4" xfId="2" applyFont="1" applyFill="1" applyBorder="1" applyAlignment="1">
      <alignment horizontal="right" vertical="center" wrapText="1"/>
    </xf>
    <xf numFmtId="0" fontId="7" fillId="5" borderId="7" xfId="2" applyFont="1" applyFill="1" applyBorder="1" applyAlignment="1">
      <alignment horizontal="right" vertical="center" wrapText="1"/>
    </xf>
    <xf numFmtId="0" fontId="7" fillId="5" borderId="11" xfId="2" applyFont="1" applyFill="1" applyBorder="1" applyAlignment="1">
      <alignment horizontal="right" vertical="center" wrapText="1"/>
    </xf>
    <xf numFmtId="0" fontId="3" fillId="6" borderId="0" xfId="2" applyFont="1" applyFill="1" applyAlignment="1">
      <alignment vertical="center"/>
    </xf>
    <xf numFmtId="0" fontId="3" fillId="6" borderId="1" xfId="2" applyFont="1" applyFill="1" applyBorder="1" applyAlignment="1">
      <alignment vertical="center"/>
    </xf>
    <xf numFmtId="164" fontId="13" fillId="2" borderId="21" xfId="6" applyNumberFormat="1" applyBorder="1" applyAlignment="1">
      <alignment horizontal="right" vertical="center"/>
    </xf>
    <xf numFmtId="164" fontId="13" fillId="2" borderId="6" xfId="6" applyNumberFormat="1" applyBorder="1" applyAlignment="1">
      <alignment horizontal="right" vertical="center"/>
    </xf>
    <xf numFmtId="168" fontId="13" fillId="2" borderId="21" xfId="6" applyNumberFormat="1" applyBorder="1" applyAlignment="1">
      <alignment horizontal="right" vertical="center"/>
    </xf>
    <xf numFmtId="168" fontId="13" fillId="2" borderId="6" xfId="6" applyNumberFormat="1" applyBorder="1" applyAlignment="1">
      <alignment horizontal="right" vertical="center"/>
    </xf>
    <xf numFmtId="0" fontId="13" fillId="2" borderId="21" xfId="6" applyBorder="1" applyAlignment="1">
      <alignment horizontal="left" vertical="center"/>
    </xf>
    <xf numFmtId="0" fontId="13" fillId="2" borderId="5" xfId="6" applyBorder="1" applyAlignment="1">
      <alignment horizontal="left" vertical="center" wrapText="1"/>
    </xf>
    <xf numFmtId="165" fontId="13" fillId="2" borderId="6" xfId="6" applyNumberFormat="1" applyBorder="1" applyAlignment="1">
      <alignment horizontal="center" vertical="center" wrapText="1"/>
    </xf>
    <xf numFmtId="0" fontId="13" fillId="2" borderId="31" xfId="6" applyBorder="1" applyAlignment="1">
      <alignment horizontal="left" vertical="center"/>
    </xf>
    <xf numFmtId="165" fontId="13" fillId="2" borderId="10" xfId="6" applyNumberFormat="1" applyBorder="1" applyAlignment="1">
      <alignment horizontal="center" vertical="center" wrapText="1"/>
    </xf>
    <xf numFmtId="0" fontId="13" fillId="2" borderId="5" xfId="6" applyBorder="1" applyAlignment="1" applyProtection="1">
      <alignment horizontal="left" vertical="center" wrapText="1"/>
      <protection locked="0"/>
    </xf>
    <xf numFmtId="0" fontId="13" fillId="2" borderId="5" xfId="6" applyBorder="1" applyAlignment="1" applyProtection="1">
      <alignment horizontal="center" vertical="center" wrapText="1"/>
      <protection locked="0"/>
    </xf>
    <xf numFmtId="0" fontId="13" fillId="2" borderId="6" xfId="6" applyBorder="1" applyAlignment="1" applyProtection="1">
      <alignment horizontal="left" vertical="center" wrapText="1"/>
      <protection locked="0"/>
    </xf>
    <xf numFmtId="0" fontId="13" fillId="2" borderId="9" xfId="6" applyBorder="1" applyAlignment="1" applyProtection="1">
      <alignment horizontal="left" vertical="center" wrapText="1"/>
      <protection locked="0"/>
    </xf>
    <xf numFmtId="0" fontId="13" fillId="2" borderId="9" xfId="6" applyBorder="1" applyAlignment="1" applyProtection="1">
      <alignment horizontal="center" vertical="center" wrapText="1"/>
      <protection locked="0"/>
    </xf>
    <xf numFmtId="0" fontId="13" fillId="2" borderId="12" xfId="6" applyBorder="1" applyAlignment="1" applyProtection="1">
      <alignment horizontal="left" vertical="center" wrapText="1"/>
      <protection locked="0"/>
    </xf>
    <xf numFmtId="0" fontId="3" fillId="6" borderId="2" xfId="2" applyFont="1" applyFill="1" applyBorder="1" applyAlignment="1">
      <alignment horizontal="left" vertical="center" wrapText="1"/>
    </xf>
    <xf numFmtId="0" fontId="3" fillId="6" borderId="3" xfId="2" applyFont="1" applyFill="1" applyBorder="1" applyAlignment="1">
      <alignment horizontal="left" vertical="center" wrapText="1"/>
    </xf>
    <xf numFmtId="0" fontId="8" fillId="6" borderId="2" xfId="3" applyFont="1" applyFill="1" applyBorder="1" applyAlignment="1">
      <alignment horizontal="center" vertical="center" wrapText="1"/>
    </xf>
    <xf numFmtId="0" fontId="8" fillId="6" borderId="3" xfId="3" applyFont="1" applyFill="1" applyBorder="1" applyAlignment="1">
      <alignment horizontal="center" vertical="center" wrapText="1"/>
    </xf>
    <xf numFmtId="0" fontId="8" fillId="6" borderId="26" xfId="3" applyFont="1" applyFill="1" applyBorder="1" applyAlignment="1">
      <alignment horizontal="center" vertical="center" wrapText="1"/>
    </xf>
    <xf numFmtId="0" fontId="3" fillId="6" borderId="29" xfId="2" applyFont="1" applyFill="1" applyBorder="1" applyAlignment="1">
      <alignment horizontal="left" vertical="center"/>
    </xf>
    <xf numFmtId="0" fontId="3" fillId="6" borderId="30" xfId="2" applyFont="1" applyFill="1" applyBorder="1" applyAlignment="1">
      <alignment horizontal="left" vertical="center"/>
    </xf>
    <xf numFmtId="0" fontId="3" fillId="6" borderId="0" xfId="2" applyFont="1" applyFill="1" applyAlignment="1">
      <alignment horizontal="left" vertical="center"/>
    </xf>
    <xf numFmtId="0" fontId="5" fillId="2" borderId="0" xfId="0" applyFont="1"/>
    <xf numFmtId="0" fontId="7" fillId="2" borderId="22" xfId="2" applyFont="1" applyBorder="1" applyAlignment="1">
      <alignment horizontal="left" vertical="center" wrapText="1"/>
    </xf>
    <xf numFmtId="0" fontId="7" fillId="2" borderId="19" xfId="2" applyFont="1" applyBorder="1" applyAlignment="1">
      <alignment horizontal="left" vertical="center" wrapText="1"/>
    </xf>
    <xf numFmtId="0" fontId="7" fillId="2" borderId="22" xfId="2" applyFont="1" applyBorder="1" applyAlignment="1">
      <alignment horizontal="left"/>
    </xf>
    <xf numFmtId="0" fontId="7" fillId="2" borderId="23" xfId="2" applyFont="1" applyBorder="1" applyAlignment="1">
      <alignment horizontal="left"/>
    </xf>
    <xf numFmtId="0" fontId="7" fillId="2" borderId="19" xfId="2" applyFont="1" applyBorder="1" applyAlignment="1">
      <alignment horizontal="left"/>
    </xf>
    <xf numFmtId="0" fontId="7" fillId="2" borderId="20" xfId="2" applyFont="1" applyBorder="1" applyAlignment="1">
      <alignment horizontal="left" vertical="center" wrapText="1"/>
    </xf>
    <xf numFmtId="0" fontId="7" fillId="2" borderId="16" xfId="2" applyFont="1" applyBorder="1" applyAlignment="1">
      <alignment horizontal="left" vertical="center" wrapText="1"/>
    </xf>
    <xf numFmtId="0" fontId="7" fillId="2" borderId="20" xfId="2" applyFont="1" applyBorder="1" applyAlignment="1">
      <alignment horizontal="left"/>
    </xf>
    <xf numFmtId="0" fontId="7" fillId="2" borderId="15" xfId="2" applyFont="1" applyBorder="1" applyAlignment="1">
      <alignment horizontal="left"/>
    </xf>
    <xf numFmtId="0" fontId="7" fillId="2" borderId="16" xfId="2" applyFont="1" applyBorder="1" applyAlignment="1">
      <alignment horizontal="left"/>
    </xf>
    <xf numFmtId="0" fontId="8" fillId="6" borderId="1" xfId="2" applyFont="1" applyFill="1" applyBorder="1" applyAlignment="1">
      <alignment horizontal="center" vertical="center" wrapText="1"/>
    </xf>
    <xf numFmtId="0" fontId="8" fillId="6" borderId="3" xfId="2" applyFont="1" applyFill="1" applyBorder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8" fillId="6" borderId="13" xfId="2" applyFont="1" applyFill="1" applyBorder="1" applyAlignment="1">
      <alignment horizontal="center" vertical="center" wrapText="1"/>
    </xf>
    <xf numFmtId="0" fontId="9" fillId="5" borderId="4" xfId="2" applyFont="1" applyFill="1" applyBorder="1" applyAlignment="1">
      <alignment horizontal="center" vertical="center" wrapText="1"/>
    </xf>
    <xf numFmtId="0" fontId="9" fillId="5" borderId="6" xfId="2" applyFont="1" applyFill="1" applyBorder="1" applyAlignment="1">
      <alignment horizontal="center" vertical="center"/>
    </xf>
    <xf numFmtId="0" fontId="9" fillId="0" borderId="20" xfId="2" applyFont="1" applyFill="1" applyBorder="1" applyAlignment="1">
      <alignment horizontal="left" vertical="center" wrapText="1"/>
    </xf>
    <xf numFmtId="0" fontId="9" fillId="0" borderId="15" xfId="2" applyFont="1" applyFill="1" applyBorder="1" applyAlignment="1">
      <alignment horizontal="left" vertical="center" wrapText="1"/>
    </xf>
    <xf numFmtId="0" fontId="9" fillId="0" borderId="16" xfId="2" applyFont="1" applyFill="1" applyBorder="1" applyAlignment="1">
      <alignment horizontal="left" vertical="center" wrapText="1"/>
    </xf>
    <xf numFmtId="0" fontId="7" fillId="2" borderId="4" xfId="2" applyFont="1" applyBorder="1" applyAlignment="1">
      <alignment horizontal="center"/>
    </xf>
    <xf numFmtId="0" fontId="7" fillId="2" borderId="6" xfId="2" applyFont="1" applyBorder="1" applyAlignment="1">
      <alignment horizontal="center"/>
    </xf>
    <xf numFmtId="0" fontId="7" fillId="2" borderId="5" xfId="2" applyFont="1" applyBorder="1" applyAlignment="1">
      <alignment horizontal="center"/>
    </xf>
    <xf numFmtId="0" fontId="7" fillId="2" borderId="11" xfId="2" applyFont="1" applyBorder="1" applyAlignment="1">
      <alignment horizontal="center"/>
    </xf>
    <xf numFmtId="0" fontId="7" fillId="2" borderId="12" xfId="2" applyFont="1" applyBorder="1" applyAlignment="1">
      <alignment horizontal="center"/>
    </xf>
    <xf numFmtId="0" fontId="7" fillId="2" borderId="9" xfId="2" applyFont="1" applyBorder="1" applyAlignment="1">
      <alignment horizontal="center"/>
    </xf>
    <xf numFmtId="0" fontId="7" fillId="2" borderId="4" xfId="2" applyFont="1" applyBorder="1" applyAlignment="1">
      <alignment horizontal="center" vertical="center"/>
    </xf>
    <xf numFmtId="0" fontId="7" fillId="2" borderId="6" xfId="2" applyFont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 wrapText="1"/>
    </xf>
    <xf numFmtId="0" fontId="9" fillId="4" borderId="5" xfId="2" applyFont="1" applyFill="1" applyBorder="1" applyAlignment="1">
      <alignment horizontal="center" vertical="center" wrapText="1"/>
    </xf>
    <xf numFmtId="0" fontId="9" fillId="5" borderId="6" xfId="2" applyFont="1" applyFill="1" applyBorder="1" applyAlignment="1">
      <alignment horizontal="center" vertical="center" wrapText="1"/>
    </xf>
    <xf numFmtId="0" fontId="7" fillId="0" borderId="14" xfId="2" applyFont="1" applyFill="1" applyBorder="1" applyAlignment="1">
      <alignment horizontal="left" vertical="center" wrapText="1"/>
    </xf>
    <xf numFmtId="0" fontId="7" fillId="0" borderId="16" xfId="2" applyFont="1" applyFill="1" applyBorder="1" applyAlignment="1">
      <alignment horizontal="left" vertical="center" wrapText="1"/>
    </xf>
    <xf numFmtId="0" fontId="7" fillId="4" borderId="20" xfId="2" applyFont="1" applyFill="1" applyBorder="1" applyAlignment="1">
      <alignment horizontal="right" vertical="center" wrapText="1"/>
    </xf>
    <xf numFmtId="0" fontId="7" fillId="4" borderId="21" xfId="2" applyFont="1" applyFill="1" applyBorder="1" applyAlignment="1">
      <alignment horizontal="right" vertical="center" wrapText="1"/>
    </xf>
    <xf numFmtId="0" fontId="9" fillId="5" borderId="5" xfId="2" applyFont="1" applyFill="1" applyBorder="1" applyAlignment="1">
      <alignment horizontal="center" vertical="center"/>
    </xf>
    <xf numFmtId="0" fontId="9" fillId="5" borderId="14" xfId="2" applyFont="1" applyFill="1" applyBorder="1" applyAlignment="1">
      <alignment horizontal="center" vertical="center"/>
    </xf>
    <xf numFmtId="0" fontId="8" fillId="6" borderId="0" xfId="2" applyFont="1" applyFill="1" applyAlignment="1">
      <alignment horizontal="left" vertical="center"/>
    </xf>
    <xf numFmtId="0" fontId="7" fillId="2" borderId="0" xfId="2" applyFont="1" applyAlignment="1">
      <alignment horizontal="left" vertical="center" wrapText="1"/>
    </xf>
    <xf numFmtId="0" fontId="7" fillId="2" borderId="5" xfId="2" applyFont="1" applyBorder="1" applyAlignment="1">
      <alignment horizontal="left" vertical="center" wrapText="1"/>
    </xf>
    <xf numFmtId="0" fontId="7" fillId="2" borderId="14" xfId="2" applyFont="1" applyBorder="1" applyAlignment="1">
      <alignment horizontal="left" vertical="center" wrapText="1"/>
    </xf>
    <xf numFmtId="0" fontId="7" fillId="2" borderId="6" xfId="2" applyFont="1" applyBorder="1" applyAlignment="1">
      <alignment horizontal="left" vertical="center" wrapText="1"/>
    </xf>
    <xf numFmtId="164" fontId="7" fillId="2" borderId="14" xfId="2" applyNumberFormat="1" applyFont="1" applyBorder="1" applyAlignment="1">
      <alignment horizontal="center" vertical="center" wrapText="1"/>
    </xf>
    <xf numFmtId="164" fontId="7" fillId="2" borderId="15" xfId="2" applyNumberFormat="1" applyFont="1" applyBorder="1" applyAlignment="1">
      <alignment horizontal="center" vertical="center" wrapText="1"/>
    </xf>
    <xf numFmtId="164" fontId="7" fillId="2" borderId="16" xfId="2" applyNumberFormat="1" applyFont="1" applyBorder="1" applyAlignment="1">
      <alignment horizontal="center" vertical="center" wrapText="1"/>
    </xf>
    <xf numFmtId="0" fontId="7" fillId="0" borderId="17" xfId="2" applyFont="1" applyFill="1" applyBorder="1" applyAlignment="1">
      <alignment horizontal="center" vertical="center" wrapText="1"/>
    </xf>
    <xf numFmtId="0" fontId="7" fillId="0" borderId="23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6" fillId="4" borderId="22" xfId="2" applyFont="1" applyFill="1" applyBorder="1" applyAlignment="1">
      <alignment horizontal="left" vertical="center"/>
    </xf>
    <xf numFmtId="0" fontId="6" fillId="4" borderId="23" xfId="2" applyFont="1" applyFill="1" applyBorder="1" applyAlignment="1">
      <alignment horizontal="left" vertical="center"/>
    </xf>
    <xf numFmtId="0" fontId="6" fillId="4" borderId="18" xfId="2" applyFont="1" applyFill="1" applyBorder="1" applyAlignment="1">
      <alignment horizontal="left" vertical="center"/>
    </xf>
    <xf numFmtId="0" fontId="8" fillId="6" borderId="24" xfId="3" applyFont="1" applyFill="1" applyBorder="1" applyAlignment="1">
      <alignment horizontal="left" vertical="center" wrapText="1"/>
    </xf>
    <xf numFmtId="0" fontId="8" fillId="6" borderId="26" xfId="3" applyFont="1" applyFill="1" applyBorder="1" applyAlignment="1">
      <alignment horizontal="left" vertical="center" wrapText="1"/>
    </xf>
    <xf numFmtId="0" fontId="8" fillId="6" borderId="0" xfId="3" applyFont="1" applyFill="1" applyAlignment="1">
      <alignment horizontal="left" vertical="center"/>
    </xf>
    <xf numFmtId="0" fontId="9" fillId="4" borderId="20" xfId="3" applyFont="1" applyFill="1" applyBorder="1" applyAlignment="1" applyProtection="1">
      <alignment horizontal="left" vertical="center"/>
      <protection locked="0"/>
    </xf>
    <xf numFmtId="0" fontId="9" fillId="4" borderId="15" xfId="3" applyFont="1" applyFill="1" applyBorder="1" applyAlignment="1" applyProtection="1">
      <alignment horizontal="left" vertical="center"/>
      <protection locked="0"/>
    </xf>
    <xf numFmtId="0" fontId="9" fillId="4" borderId="16" xfId="3" applyFont="1" applyFill="1" applyBorder="1" applyAlignment="1" applyProtection="1">
      <alignment horizontal="left" vertical="center"/>
      <protection locked="0"/>
    </xf>
  </cellXfs>
  <cellStyles count="7">
    <cellStyle name="Comma" xfId="1" builtinId="3"/>
    <cellStyle name="Currency" xfId="4" builtinId="4"/>
    <cellStyle name="Input" xfId="6" builtinId="20" customBuiltin="1"/>
    <cellStyle name="Normal" xfId="0" builtinId="0" customBuiltin="1"/>
    <cellStyle name="Normal 2" xfId="2" xr:uid="{5F3E619E-19BA-BA4A-A213-B78C348B792C}"/>
    <cellStyle name="Normal 5" xfId="3" xr:uid="{E0DA6714-F5CA-1246-9BEA-48B872AE93AB}"/>
    <cellStyle name="Percent" xfId="5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/>
            </a:pPr>
            <a:r>
              <a:rPr lang="en-GB"/>
              <a:t>Revenue and costs</a:t>
            </a:r>
            <a:r>
              <a:rPr lang="en-GB" baseline="0"/>
              <a:t> over time</a:t>
            </a:r>
            <a:endParaRPr lang="en-GB"/>
          </a:p>
        </c:rich>
      </c:tx>
      <c:layout>
        <c:manualLayout>
          <c:xMode val="edge"/>
          <c:yMode val="edge"/>
          <c:x val="0.37889983775310976"/>
          <c:y val="4.39330543933054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310496548816148"/>
          <c:y val="0.18673656640200309"/>
          <c:w val="0.84488977294601852"/>
          <c:h val="0.73135258458801433"/>
        </c:manualLayout>
      </c:layout>
      <c:scatterChart>
        <c:scatterStyle val="smoothMarker"/>
        <c:varyColors val="0"/>
        <c:ser>
          <c:idx val="0"/>
          <c:order val="0"/>
          <c:tx>
            <c:v>Revenue</c:v>
          </c:tx>
          <c:xVal>
            <c:strRef>
              <c:f>'3c. Unit Economics - Breakeven'!$C$4:$I$4</c:f>
              <c:strCache>
                <c:ptCount val="7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</c:strCache>
            </c:strRef>
          </c:xVal>
          <c:yVal>
            <c:numRef>
              <c:f>'3c. Unit Economics - Breakeven'!$C$7:$I$7</c:f>
              <c:numCache>
                <c:formatCode>_("$"* #,##0_);_("$"* \(#,##0\);_("$"* "-"??_);_(@_)</c:formatCode>
                <c:ptCount val="7"/>
                <c:pt idx="0">
                  <c:v>15000</c:v>
                </c:pt>
                <c:pt idx="1">
                  <c:v>30000</c:v>
                </c:pt>
                <c:pt idx="2">
                  <c:v>60000</c:v>
                </c:pt>
                <c:pt idx="3">
                  <c:v>120000</c:v>
                </c:pt>
                <c:pt idx="4">
                  <c:v>240000</c:v>
                </c:pt>
                <c:pt idx="5">
                  <c:v>480000</c:v>
                </c:pt>
                <c:pt idx="6">
                  <c:v>960000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D4-ED43-A500-1E51A4CBB1B7}"/>
            </c:ext>
          </c:extLst>
        </c:ser>
        <c:ser>
          <c:idx val="1"/>
          <c:order val="1"/>
          <c:tx>
            <c:v>Costs</c:v>
          </c:tx>
          <c:xVal>
            <c:strRef>
              <c:f>'3c. Unit Economics - Breakeven'!$C$4:$I$4</c:f>
              <c:strCache>
                <c:ptCount val="7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  <c:pt idx="5">
                  <c:v>Year 6</c:v>
                </c:pt>
                <c:pt idx="6">
                  <c:v>Year 7</c:v>
                </c:pt>
              </c:strCache>
            </c:strRef>
          </c:xVal>
          <c:yVal>
            <c:numRef>
              <c:f>'3c. Unit Economics - Breakeven'!$C$12:$I$12</c:f>
              <c:numCache>
                <c:formatCode>_("$"* #,##0_);_("$"* \(#,##0\);_("$"* "-"??_);_(@_)</c:formatCode>
                <c:ptCount val="7"/>
                <c:pt idx="0">
                  <c:v>63100</c:v>
                </c:pt>
                <c:pt idx="1">
                  <c:v>65200</c:v>
                </c:pt>
                <c:pt idx="2">
                  <c:v>69400</c:v>
                </c:pt>
                <c:pt idx="3">
                  <c:v>77800</c:v>
                </c:pt>
                <c:pt idx="4">
                  <c:v>94600</c:v>
                </c:pt>
                <c:pt idx="5">
                  <c:v>128200</c:v>
                </c:pt>
                <c:pt idx="6">
                  <c:v>195400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D4-ED43-A500-1E51A4CBB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990848"/>
        <c:axId val="1723992496"/>
      </c:scatterChart>
      <c:valAx>
        <c:axId val="172399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23992496"/>
        <c:crosses val="autoZero"/>
        <c:crossBetween val="midCat"/>
      </c:valAx>
      <c:valAx>
        <c:axId val="172399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23990848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40683444400648988"/>
          <c:y val="0.10785573089974632"/>
          <c:w val="0.17701795715582119"/>
          <c:h val="4.0326162158600472E-2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24</xdr:row>
      <xdr:rowOff>114300</xdr:rowOff>
    </xdr:from>
    <xdr:to>
      <xdr:col>9</xdr:col>
      <xdr:colOff>0</xdr:colOff>
      <xdr:row>44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B72A9-F2C3-2847-BC4D-416C31A16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0">
      <a:dk1>
        <a:srgbClr val="000000"/>
      </a:dk1>
      <a:lt1>
        <a:srgbClr val="FFFFFF"/>
      </a:lt1>
      <a:dk2>
        <a:srgbClr val="FFFFFF"/>
      </a:dk2>
      <a:lt2>
        <a:srgbClr val="FFFFFF"/>
      </a:lt2>
      <a:accent1>
        <a:srgbClr val="14478A"/>
      </a:accent1>
      <a:accent2>
        <a:srgbClr val="B7472A"/>
      </a:accent2>
      <a:accent3>
        <a:srgbClr val="F5E3DF"/>
      </a:accent3>
      <a:accent4>
        <a:srgbClr val="424242"/>
      </a:accent4>
      <a:accent5>
        <a:srgbClr val="D9D9D9"/>
      </a:accent5>
      <a:accent6>
        <a:srgbClr val="F0F0F0"/>
      </a:accent6>
      <a:hlink>
        <a:srgbClr val="555555"/>
      </a:hlink>
      <a:folHlink>
        <a:srgbClr val="333333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C6F25-94E8-5A4A-80DF-A9C5B0BB085D}">
  <dimension ref="A2:C7"/>
  <sheetViews>
    <sheetView workbookViewId="0">
      <selection activeCell="B2" sqref="B2"/>
    </sheetView>
  </sheetViews>
  <sheetFormatPr defaultColWidth="7.81640625" defaultRowHeight="24" customHeight="1"/>
  <cols>
    <col min="1" max="1" width="2.453125" style="1" customWidth="1"/>
    <col min="2" max="3" width="25.26953125" style="1" customWidth="1"/>
    <col min="4" max="16384" width="7.81640625" style="1"/>
  </cols>
  <sheetData>
    <row r="2" spans="1:3" ht="24" customHeight="1">
      <c r="B2" s="54" t="s">
        <v>45</v>
      </c>
    </row>
    <row r="3" spans="1:3" ht="24" customHeight="1" thickBot="1"/>
    <row r="4" spans="1:3" ht="24" customHeight="1" thickBot="1">
      <c r="A4" s="48"/>
      <c r="B4" s="116" t="s">
        <v>44</v>
      </c>
      <c r="C4" s="117"/>
    </row>
    <row r="5" spans="1:3" ht="24" customHeight="1">
      <c r="A5" s="49"/>
      <c r="B5" s="52" t="s">
        <v>39</v>
      </c>
      <c r="C5" s="53" t="s">
        <v>43</v>
      </c>
    </row>
    <row r="6" spans="1:3" ht="24" customHeight="1">
      <c r="A6" s="49"/>
      <c r="B6" s="46" t="s">
        <v>41</v>
      </c>
      <c r="C6" s="50" t="s">
        <v>42</v>
      </c>
    </row>
    <row r="7" spans="1:3" ht="24" customHeight="1" thickBot="1">
      <c r="A7" s="49"/>
      <c r="B7" s="47" t="s">
        <v>40</v>
      </c>
      <c r="C7" s="51">
        <f ca="1">TODAY()</f>
        <v>45423</v>
      </c>
    </row>
  </sheetData>
  <mergeCells count="1"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506C-55C4-B047-9AF2-38C4D3F0ACA1}">
  <dimension ref="B2:G16"/>
  <sheetViews>
    <sheetView zoomScaleNormal="100" workbookViewId="0">
      <selection activeCell="D19" sqref="D19"/>
    </sheetView>
  </sheetViews>
  <sheetFormatPr defaultColWidth="7.81640625" defaultRowHeight="24" customHeight="1"/>
  <cols>
    <col min="1" max="1" width="2.453125" style="1" customWidth="1"/>
    <col min="2" max="2" width="4.7265625" style="1" customWidth="1"/>
    <col min="3" max="3" width="40.54296875" style="1" customWidth="1"/>
    <col min="4" max="4" width="31.1796875" style="1" customWidth="1"/>
    <col min="5" max="7" width="15.54296875" style="1" customWidth="1"/>
    <col min="8" max="16384" width="7.81640625" style="1"/>
  </cols>
  <sheetData>
    <row r="2" spans="2:7" ht="24" customHeight="1">
      <c r="B2" s="118" t="s">
        <v>57</v>
      </c>
      <c r="C2" s="118"/>
      <c r="D2" s="118"/>
      <c r="E2" s="118"/>
      <c r="F2" s="118"/>
      <c r="G2" s="118"/>
    </row>
    <row r="3" spans="2:7" ht="24" customHeight="1" thickBot="1">
      <c r="B3" s="119"/>
      <c r="C3" s="119"/>
      <c r="D3" s="119"/>
      <c r="E3" s="119"/>
      <c r="F3" s="119"/>
      <c r="G3" s="2"/>
    </row>
    <row r="4" spans="2:7" ht="24" customHeight="1">
      <c r="B4" s="87"/>
      <c r="C4" s="88" t="s">
        <v>0</v>
      </c>
      <c r="D4" s="88" t="s">
        <v>82</v>
      </c>
      <c r="E4" s="89" t="s">
        <v>1</v>
      </c>
      <c r="F4" s="88" t="s">
        <v>2</v>
      </c>
      <c r="G4" s="90" t="s">
        <v>83</v>
      </c>
    </row>
    <row r="5" spans="2:7" s="6" customFormat="1" ht="24" customHeight="1">
      <c r="B5" s="25">
        <v>1</v>
      </c>
      <c r="C5" s="26"/>
      <c r="D5" s="26"/>
      <c r="E5" s="3"/>
      <c r="F5" s="4"/>
      <c r="G5" s="5"/>
    </row>
    <row r="6" spans="2:7" s="6" customFormat="1" ht="24" customHeight="1">
      <c r="B6" s="25">
        <v>2</v>
      </c>
      <c r="C6" s="26"/>
      <c r="D6" s="26"/>
      <c r="E6" s="3"/>
      <c r="F6" s="4"/>
      <c r="G6" s="5"/>
    </row>
    <row r="7" spans="2:7" s="6" customFormat="1" ht="24" customHeight="1">
      <c r="B7" s="25">
        <v>3</v>
      </c>
      <c r="C7" s="26"/>
      <c r="D7" s="26"/>
      <c r="E7" s="3"/>
      <c r="F7" s="4"/>
      <c r="G7" s="5"/>
    </row>
    <row r="8" spans="2:7" s="6" customFormat="1" ht="24" customHeight="1">
      <c r="B8" s="25">
        <v>4</v>
      </c>
      <c r="C8" s="26"/>
      <c r="D8" s="26"/>
      <c r="E8" s="3"/>
      <c r="F8" s="4"/>
      <c r="G8" s="5"/>
    </row>
    <row r="9" spans="2:7" s="6" customFormat="1" ht="24" customHeight="1">
      <c r="B9" s="27">
        <v>5</v>
      </c>
      <c r="C9" s="28"/>
      <c r="D9" s="26"/>
      <c r="E9" s="7"/>
      <c r="F9" s="8"/>
      <c r="G9" s="9"/>
    </row>
    <row r="10" spans="2:7" s="6" customFormat="1" ht="24" customHeight="1">
      <c r="B10" s="27">
        <v>6</v>
      </c>
      <c r="C10" s="28"/>
      <c r="D10" s="26"/>
      <c r="E10" s="7"/>
      <c r="F10" s="8"/>
      <c r="G10" s="9"/>
    </row>
    <row r="11" spans="2:7" s="6" customFormat="1" ht="24" customHeight="1">
      <c r="B11" s="27">
        <v>7</v>
      </c>
      <c r="C11" s="26"/>
      <c r="D11" s="26"/>
      <c r="E11" s="7"/>
      <c r="F11" s="8"/>
      <c r="G11" s="9"/>
    </row>
    <row r="12" spans="2:7" s="6" customFormat="1" ht="24" customHeight="1">
      <c r="B12" s="25">
        <v>8</v>
      </c>
      <c r="C12" s="26"/>
      <c r="D12" s="26"/>
      <c r="E12" s="3"/>
      <c r="F12" s="4"/>
      <c r="G12" s="5"/>
    </row>
    <row r="13" spans="2:7" s="6" customFormat="1" ht="24" customHeight="1">
      <c r="B13" s="25">
        <v>9</v>
      </c>
      <c r="C13" s="26"/>
      <c r="D13" s="26"/>
      <c r="E13" s="3"/>
      <c r="F13" s="4"/>
      <c r="G13" s="5"/>
    </row>
    <row r="14" spans="2:7" s="6" customFormat="1" ht="24" customHeight="1">
      <c r="B14" s="25">
        <v>10</v>
      </c>
      <c r="C14" s="26"/>
      <c r="D14" s="26"/>
      <c r="E14" s="3"/>
      <c r="F14" s="4"/>
      <c r="G14" s="5"/>
    </row>
    <row r="15" spans="2:7" s="6" customFormat="1" ht="24" customHeight="1">
      <c r="B15" s="27">
        <v>11</v>
      </c>
      <c r="C15" s="28"/>
      <c r="D15" s="26"/>
      <c r="E15" s="7"/>
      <c r="F15" s="8"/>
      <c r="G15" s="9"/>
    </row>
    <row r="16" spans="2:7" s="6" customFormat="1" ht="24" customHeight="1" thickBot="1">
      <c r="B16" s="29">
        <v>12</v>
      </c>
      <c r="C16" s="30"/>
      <c r="D16" s="30"/>
      <c r="E16" s="10"/>
      <c r="F16" s="11"/>
      <c r="G16" s="12"/>
    </row>
  </sheetData>
  <mergeCells count="2">
    <mergeCell ref="B2:G2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8C63-B8AA-5645-92C7-7D951CBB83F5}">
  <dimension ref="A2:DI32"/>
  <sheetViews>
    <sheetView tabSelected="1" workbookViewId="0">
      <selection activeCell="L12" sqref="L12"/>
    </sheetView>
  </sheetViews>
  <sheetFormatPr defaultColWidth="7.81640625" defaultRowHeight="24" customHeight="1"/>
  <cols>
    <col min="1" max="1" width="2.453125" style="13" customWidth="1"/>
    <col min="2" max="2" width="24.453125" style="13" customWidth="1"/>
    <col min="3" max="3" width="64.26953125" style="13" customWidth="1"/>
    <col min="4" max="4" width="1.54296875" style="13" customWidth="1"/>
    <col min="5" max="5" width="24.1796875" style="13" customWidth="1"/>
    <col min="6" max="6" width="22.7265625" style="13" customWidth="1"/>
    <col min="7" max="10" width="12.453125" style="13" customWidth="1"/>
    <col min="11" max="16384" width="7.81640625" style="13"/>
  </cols>
  <sheetData>
    <row r="2" spans="1:113" ht="24" customHeight="1">
      <c r="A2" s="14"/>
      <c r="B2" s="156" t="s">
        <v>46</v>
      </c>
      <c r="C2" s="156"/>
      <c r="D2" s="156"/>
      <c r="E2" s="156"/>
      <c r="F2" s="156"/>
      <c r="G2" s="156"/>
      <c r="H2" s="156"/>
      <c r="I2" s="156"/>
      <c r="J2" s="156"/>
      <c r="K2" s="15"/>
      <c r="L2" s="15"/>
      <c r="M2" s="15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</row>
    <row r="3" spans="1:113" ht="24" customHeight="1" thickBot="1">
      <c r="B3" s="157"/>
      <c r="C3" s="157"/>
      <c r="D3" s="157"/>
      <c r="E3" s="157"/>
      <c r="F3" s="157"/>
    </row>
    <row r="4" spans="1:113" ht="24" customHeight="1">
      <c r="B4" s="130" t="s">
        <v>3</v>
      </c>
      <c r="C4" s="131"/>
      <c r="E4" s="130" t="s">
        <v>4</v>
      </c>
      <c r="F4" s="132"/>
      <c r="G4" s="132"/>
      <c r="H4" s="133"/>
      <c r="I4" s="133"/>
      <c r="J4" s="131"/>
    </row>
    <row r="5" spans="1:113" ht="24" customHeight="1">
      <c r="B5" s="91" t="s">
        <v>47</v>
      </c>
      <c r="C5" s="16" t="s">
        <v>58</v>
      </c>
      <c r="E5" s="91" t="s">
        <v>48</v>
      </c>
      <c r="F5" s="158"/>
      <c r="G5" s="158"/>
      <c r="H5" s="159"/>
      <c r="I5" s="159"/>
      <c r="J5" s="160"/>
    </row>
    <row r="6" spans="1:113" ht="24" customHeight="1">
      <c r="B6" s="91" t="s">
        <v>53</v>
      </c>
      <c r="C6" s="16"/>
      <c r="E6" s="91" t="s">
        <v>49</v>
      </c>
      <c r="F6" s="161"/>
      <c r="G6" s="162"/>
      <c r="H6" s="162"/>
      <c r="I6" s="162"/>
      <c r="J6" s="163"/>
    </row>
    <row r="7" spans="1:113" ht="24" customHeight="1">
      <c r="B7" s="92" t="s">
        <v>55</v>
      </c>
      <c r="C7" s="55"/>
      <c r="E7" s="92" t="s">
        <v>50</v>
      </c>
      <c r="F7" s="161"/>
      <c r="G7" s="162"/>
      <c r="H7" s="162"/>
      <c r="I7" s="162"/>
      <c r="J7" s="163"/>
    </row>
    <row r="8" spans="1:113" ht="24" customHeight="1" thickBot="1">
      <c r="B8" s="93" t="s">
        <v>56</v>
      </c>
      <c r="C8" s="18"/>
      <c r="E8" s="93" t="s">
        <v>54</v>
      </c>
      <c r="F8" s="164"/>
      <c r="G8" s="165"/>
      <c r="H8" s="165"/>
      <c r="I8" s="165"/>
      <c r="J8" s="166"/>
    </row>
    <row r="9" spans="1:113" ht="24" customHeight="1" thickBot="1"/>
    <row r="10" spans="1:113" ht="24" customHeight="1">
      <c r="B10" s="130" t="s">
        <v>51</v>
      </c>
      <c r="C10" s="131"/>
      <c r="E10" s="130" t="s">
        <v>5</v>
      </c>
      <c r="F10" s="132"/>
      <c r="G10" s="132"/>
      <c r="H10" s="133"/>
      <c r="I10" s="133"/>
      <c r="J10" s="131"/>
    </row>
    <row r="11" spans="1:113" ht="24" customHeight="1">
      <c r="B11" s="134" t="s">
        <v>14</v>
      </c>
      <c r="C11" s="149"/>
      <c r="E11" s="134" t="s">
        <v>16</v>
      </c>
      <c r="F11" s="154"/>
      <c r="G11" s="154"/>
      <c r="H11" s="155"/>
      <c r="I11" s="155"/>
      <c r="J11" s="135"/>
    </row>
    <row r="12" spans="1:113" ht="24" customHeight="1">
      <c r="B12" s="145"/>
      <c r="C12" s="146"/>
      <c r="E12" s="31" t="s">
        <v>6</v>
      </c>
      <c r="F12" s="17"/>
      <c r="G12" s="152" t="s">
        <v>7</v>
      </c>
      <c r="H12" s="153"/>
      <c r="I12" s="150"/>
      <c r="J12" s="151"/>
    </row>
    <row r="13" spans="1:113" ht="24" customHeight="1">
      <c r="B13" s="145"/>
      <c r="C13" s="146"/>
      <c r="E13" s="31" t="s">
        <v>8</v>
      </c>
      <c r="F13" s="17"/>
      <c r="G13" s="152" t="s">
        <v>9</v>
      </c>
      <c r="H13" s="153"/>
      <c r="I13" s="150"/>
      <c r="J13" s="151"/>
    </row>
    <row r="14" spans="1:113" ht="24" customHeight="1">
      <c r="B14" s="145"/>
      <c r="C14" s="146"/>
      <c r="E14" s="134" t="s">
        <v>17</v>
      </c>
      <c r="F14" s="154"/>
      <c r="G14" s="154"/>
      <c r="H14" s="155"/>
      <c r="I14" s="155"/>
      <c r="J14" s="135"/>
    </row>
    <row r="15" spans="1:113" ht="24" customHeight="1">
      <c r="B15" s="145"/>
      <c r="C15" s="146"/>
      <c r="E15" s="147" t="s">
        <v>10</v>
      </c>
      <c r="F15" s="148"/>
      <c r="G15" s="32" t="s">
        <v>11</v>
      </c>
      <c r="H15" s="33" t="s">
        <v>12</v>
      </c>
      <c r="I15" s="33" t="s">
        <v>18</v>
      </c>
      <c r="J15" s="34" t="s">
        <v>19</v>
      </c>
    </row>
    <row r="16" spans="1:113" ht="24" customHeight="1">
      <c r="B16" s="145"/>
      <c r="C16" s="146"/>
      <c r="E16" s="139"/>
      <c r="F16" s="141"/>
      <c r="G16" s="19"/>
      <c r="H16" s="20"/>
      <c r="I16" s="20"/>
      <c r="J16" s="21"/>
    </row>
    <row r="17" spans="2:10" ht="24" customHeight="1">
      <c r="B17" s="134" t="s">
        <v>15</v>
      </c>
      <c r="C17" s="149"/>
      <c r="E17" s="139"/>
      <c r="F17" s="141"/>
      <c r="G17" s="19"/>
      <c r="H17" s="20"/>
      <c r="I17" s="20"/>
      <c r="J17" s="21"/>
    </row>
    <row r="18" spans="2:10" ht="24" customHeight="1">
      <c r="B18" s="139"/>
      <c r="C18" s="140"/>
      <c r="E18" s="139"/>
      <c r="F18" s="141"/>
      <c r="G18" s="19"/>
      <c r="H18" s="20"/>
      <c r="I18" s="20"/>
      <c r="J18" s="21"/>
    </row>
    <row r="19" spans="2:10" ht="24" customHeight="1">
      <c r="B19" s="139"/>
      <c r="C19" s="140"/>
      <c r="E19" s="139"/>
      <c r="F19" s="141"/>
      <c r="G19" s="19"/>
      <c r="H19" s="20"/>
      <c r="I19" s="20"/>
      <c r="J19" s="21"/>
    </row>
    <row r="20" spans="2:10" ht="24" customHeight="1">
      <c r="B20" s="139"/>
      <c r="C20" s="140"/>
      <c r="E20" s="139"/>
      <c r="F20" s="141"/>
      <c r="G20" s="19"/>
      <c r="H20" s="20"/>
      <c r="I20" s="20"/>
      <c r="J20" s="21"/>
    </row>
    <row r="21" spans="2:10" ht="24" customHeight="1">
      <c r="B21" s="139"/>
      <c r="C21" s="140"/>
      <c r="E21" s="139"/>
      <c r="F21" s="141"/>
      <c r="G21" s="19"/>
      <c r="H21" s="20"/>
      <c r="I21" s="20"/>
      <c r="J21" s="21"/>
    </row>
    <row r="22" spans="2:10" ht="24" customHeight="1" thickBot="1">
      <c r="B22" s="142"/>
      <c r="C22" s="143"/>
      <c r="E22" s="142"/>
      <c r="F22" s="144"/>
      <c r="G22" s="22"/>
      <c r="H22" s="23"/>
      <c r="I22" s="23"/>
      <c r="J22" s="24"/>
    </row>
    <row r="23" spans="2:10" ht="24" customHeight="1" thickBot="1"/>
    <row r="24" spans="2:10" ht="24" customHeight="1">
      <c r="B24" s="130" t="s">
        <v>52</v>
      </c>
      <c r="C24" s="131"/>
      <c r="E24" s="130" t="s">
        <v>13</v>
      </c>
      <c r="F24" s="132"/>
      <c r="G24" s="132"/>
      <c r="H24" s="133"/>
      <c r="I24" s="133"/>
      <c r="J24" s="131"/>
    </row>
    <row r="25" spans="2:10" ht="24" customHeight="1">
      <c r="B25" s="134" t="s">
        <v>20</v>
      </c>
      <c r="C25" s="135"/>
      <c r="E25" s="136"/>
      <c r="F25" s="137"/>
      <c r="G25" s="137"/>
      <c r="H25" s="137"/>
      <c r="I25" s="137"/>
      <c r="J25" s="138"/>
    </row>
    <row r="26" spans="2:10" ht="24" customHeight="1">
      <c r="B26" s="125"/>
      <c r="C26" s="126"/>
      <c r="E26" s="127"/>
      <c r="F26" s="128"/>
      <c r="G26" s="128"/>
      <c r="H26" s="128"/>
      <c r="I26" s="128"/>
      <c r="J26" s="129"/>
    </row>
    <row r="27" spans="2:10" ht="24" customHeight="1">
      <c r="B27" s="125"/>
      <c r="C27" s="126"/>
      <c r="E27" s="127"/>
      <c r="F27" s="128"/>
      <c r="G27" s="128"/>
      <c r="H27" s="128"/>
      <c r="I27" s="128"/>
      <c r="J27" s="129"/>
    </row>
    <row r="28" spans="2:10" ht="24" customHeight="1">
      <c r="B28" s="125"/>
      <c r="C28" s="126"/>
      <c r="E28" s="127"/>
      <c r="F28" s="128"/>
      <c r="G28" s="128"/>
      <c r="H28" s="128"/>
      <c r="I28" s="128"/>
      <c r="J28" s="129"/>
    </row>
    <row r="29" spans="2:10" ht="24" customHeight="1">
      <c r="B29" s="125"/>
      <c r="C29" s="126"/>
      <c r="E29" s="127"/>
      <c r="F29" s="128"/>
      <c r="G29" s="128"/>
      <c r="H29" s="128"/>
      <c r="I29" s="128"/>
      <c r="J29" s="129"/>
    </row>
    <row r="30" spans="2:10" ht="24" customHeight="1">
      <c r="B30" s="125"/>
      <c r="C30" s="126"/>
      <c r="E30" s="127"/>
      <c r="F30" s="128"/>
      <c r="G30" s="128"/>
      <c r="H30" s="128"/>
      <c r="I30" s="128"/>
      <c r="J30" s="129"/>
    </row>
    <row r="31" spans="2:10" ht="24" customHeight="1">
      <c r="B31" s="125"/>
      <c r="C31" s="126"/>
      <c r="E31" s="127"/>
      <c r="F31" s="128"/>
      <c r="G31" s="128"/>
      <c r="H31" s="128"/>
      <c r="I31" s="128"/>
      <c r="J31" s="129"/>
    </row>
    <row r="32" spans="2:10" ht="24" customHeight="1" thickBot="1">
      <c r="B32" s="120"/>
      <c r="C32" s="121"/>
      <c r="E32" s="122"/>
      <c r="F32" s="123"/>
      <c r="G32" s="123"/>
      <c r="H32" s="123"/>
      <c r="I32" s="123"/>
      <c r="J32" s="124"/>
    </row>
  </sheetData>
  <mergeCells count="54">
    <mergeCell ref="B20:C20"/>
    <mergeCell ref="E20:F20"/>
    <mergeCell ref="B2:J2"/>
    <mergeCell ref="B3:F3"/>
    <mergeCell ref="B4:C4"/>
    <mergeCell ref="E4:J4"/>
    <mergeCell ref="F5:J5"/>
    <mergeCell ref="B10:C10"/>
    <mergeCell ref="E10:J10"/>
    <mergeCell ref="F6:J6"/>
    <mergeCell ref="F7:J7"/>
    <mergeCell ref="F8:J8"/>
    <mergeCell ref="B11:C11"/>
    <mergeCell ref="E11:J11"/>
    <mergeCell ref="B12:C12"/>
    <mergeCell ref="G12:H12"/>
    <mergeCell ref="I12:J12"/>
    <mergeCell ref="B13:C13"/>
    <mergeCell ref="G13:H13"/>
    <mergeCell ref="I13:J13"/>
    <mergeCell ref="B14:C14"/>
    <mergeCell ref="E14:J14"/>
    <mergeCell ref="B19:C19"/>
    <mergeCell ref="E19:F19"/>
    <mergeCell ref="B15:C15"/>
    <mergeCell ref="E15:F15"/>
    <mergeCell ref="B16:C16"/>
    <mergeCell ref="E16:F16"/>
    <mergeCell ref="B17:C17"/>
    <mergeCell ref="E17:F17"/>
    <mergeCell ref="B18:C18"/>
    <mergeCell ref="E18:F18"/>
    <mergeCell ref="B24:C24"/>
    <mergeCell ref="E24:J24"/>
    <mergeCell ref="B25:C25"/>
    <mergeCell ref="E25:J25"/>
    <mergeCell ref="B21:C21"/>
    <mergeCell ref="E21:F21"/>
    <mergeCell ref="B22:C22"/>
    <mergeCell ref="E22:F22"/>
    <mergeCell ref="B26:C26"/>
    <mergeCell ref="E26:J26"/>
    <mergeCell ref="B27:C27"/>
    <mergeCell ref="E27:J27"/>
    <mergeCell ref="B28:C28"/>
    <mergeCell ref="E28:J28"/>
    <mergeCell ref="B32:C32"/>
    <mergeCell ref="E32:J32"/>
    <mergeCell ref="B29:C29"/>
    <mergeCell ref="E29:J29"/>
    <mergeCell ref="B30:C30"/>
    <mergeCell ref="E30:J30"/>
    <mergeCell ref="B31:C31"/>
    <mergeCell ref="E31:J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1A6E-277C-FE4F-B5D5-826FAC0A5439}">
  <dimension ref="A2:BM7"/>
  <sheetViews>
    <sheetView workbookViewId="0">
      <selection activeCell="K12" sqref="K12"/>
    </sheetView>
  </sheetViews>
  <sheetFormatPr defaultColWidth="7.54296875" defaultRowHeight="24" customHeight="1"/>
  <cols>
    <col min="1" max="1" width="3" style="37" customWidth="1"/>
    <col min="2" max="2" width="28.1796875" style="37" customWidth="1"/>
    <col min="3" max="9" width="11.1796875" style="37" customWidth="1"/>
    <col min="10" max="16384" width="7.54296875" style="37"/>
  </cols>
  <sheetData>
    <row r="2" spans="1:65" s="6" customFormat="1" ht="24" customHeight="1">
      <c r="A2" s="36"/>
      <c r="B2" s="94" t="str">
        <f>CONCATENATE('2. Product Overview'!C5, " Revenue")</f>
        <v>[Example Product] Revenue</v>
      </c>
      <c r="C2" s="94"/>
      <c r="D2" s="94"/>
      <c r="E2" s="94"/>
      <c r="F2" s="94"/>
      <c r="G2" s="94"/>
      <c r="H2" s="94"/>
      <c r="I2" s="94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</row>
    <row r="3" spans="1:65" ht="24" customHeight="1" thickBot="1"/>
    <row r="4" spans="1:65" ht="24" customHeight="1">
      <c r="B4" s="95"/>
      <c r="C4" s="88" t="s">
        <v>22</v>
      </c>
      <c r="D4" s="88" t="s">
        <v>70</v>
      </c>
      <c r="E4" s="88" t="s">
        <v>71</v>
      </c>
      <c r="F4" s="88" t="s">
        <v>72</v>
      </c>
      <c r="G4" s="88" t="s">
        <v>73</v>
      </c>
      <c r="H4" s="88" t="s">
        <v>74</v>
      </c>
      <c r="I4" s="90" t="s">
        <v>75</v>
      </c>
    </row>
    <row r="5" spans="1:65" ht="24" customHeight="1">
      <c r="B5" s="63" t="s">
        <v>66</v>
      </c>
      <c r="C5" s="96">
        <v>15</v>
      </c>
      <c r="D5" s="96">
        <f>C5</f>
        <v>15</v>
      </c>
      <c r="E5" s="96">
        <f t="shared" ref="E5:H5" si="0">D5</f>
        <v>15</v>
      </c>
      <c r="F5" s="96">
        <f t="shared" si="0"/>
        <v>15</v>
      </c>
      <c r="G5" s="96">
        <f t="shared" si="0"/>
        <v>15</v>
      </c>
      <c r="H5" s="96">
        <f t="shared" si="0"/>
        <v>15</v>
      </c>
      <c r="I5" s="97">
        <f>H5</f>
        <v>15</v>
      </c>
    </row>
    <row r="6" spans="1:65" ht="24" customHeight="1">
      <c r="B6" s="63" t="s">
        <v>68</v>
      </c>
      <c r="C6" s="98">
        <v>1000</v>
      </c>
      <c r="D6" s="98">
        <f t="shared" ref="D6:I6" si="1">C6*2</f>
        <v>2000</v>
      </c>
      <c r="E6" s="98">
        <f t="shared" si="1"/>
        <v>4000</v>
      </c>
      <c r="F6" s="98">
        <f t="shared" si="1"/>
        <v>8000</v>
      </c>
      <c r="G6" s="98">
        <f t="shared" si="1"/>
        <v>16000</v>
      </c>
      <c r="H6" s="98">
        <f t="shared" si="1"/>
        <v>32000</v>
      </c>
      <c r="I6" s="99">
        <f t="shared" si="1"/>
        <v>64000</v>
      </c>
    </row>
    <row r="7" spans="1:65" ht="24" customHeight="1" thickBot="1">
      <c r="B7" s="64" t="s">
        <v>69</v>
      </c>
      <c r="C7" s="65">
        <f>C5*C6</f>
        <v>15000</v>
      </c>
      <c r="D7" s="65">
        <f t="shared" ref="D7:H7" si="2">D5*D6</f>
        <v>30000</v>
      </c>
      <c r="E7" s="65">
        <f t="shared" si="2"/>
        <v>60000</v>
      </c>
      <c r="F7" s="65">
        <f t="shared" si="2"/>
        <v>120000</v>
      </c>
      <c r="G7" s="65">
        <f t="shared" si="2"/>
        <v>240000</v>
      </c>
      <c r="H7" s="65">
        <f t="shared" si="2"/>
        <v>480000</v>
      </c>
      <c r="I7" s="66">
        <f>I5*I6</f>
        <v>960000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DB13F-9836-3446-9A52-E7AB49E7C2EA}">
  <dimension ref="A2:BI32"/>
  <sheetViews>
    <sheetView workbookViewId="0">
      <selection activeCell="H13" sqref="H13"/>
    </sheetView>
  </sheetViews>
  <sheetFormatPr defaultColWidth="7.54296875" defaultRowHeight="24" customHeight="1"/>
  <cols>
    <col min="1" max="1" width="3" style="37" customWidth="1"/>
    <col min="2" max="2" width="7.1796875" style="37" customWidth="1"/>
    <col min="3" max="3" width="28" style="37" customWidth="1"/>
    <col min="4" max="4" width="45.1796875" style="37" customWidth="1"/>
    <col min="5" max="5" width="15.81640625" style="37" customWidth="1"/>
    <col min="6" max="16384" width="7.54296875" style="37"/>
  </cols>
  <sheetData>
    <row r="2" spans="1:61" s="6" customFormat="1" ht="24" customHeight="1">
      <c r="A2" s="36"/>
      <c r="B2" s="94" t="str">
        <f>CONCATENATE('2. Product Overview'!C5," Costs")</f>
        <v>[Example Product] Costs</v>
      </c>
      <c r="C2" s="94"/>
      <c r="D2" s="94"/>
      <c r="E2" s="94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</row>
    <row r="4" spans="1:61" ht="24" customHeight="1">
      <c r="B4" s="118" t="s">
        <v>76</v>
      </c>
      <c r="C4" s="118"/>
      <c r="D4" s="118"/>
      <c r="E4" s="118"/>
    </row>
    <row r="5" spans="1:61" ht="24" customHeight="1" thickBot="1"/>
    <row r="6" spans="1:61" ht="24" customHeight="1">
      <c r="B6" s="87" t="s">
        <v>59</v>
      </c>
      <c r="C6" s="111" t="s">
        <v>21</v>
      </c>
      <c r="D6" s="111" t="s">
        <v>60</v>
      </c>
      <c r="E6" s="112" t="s">
        <v>61</v>
      </c>
    </row>
    <row r="7" spans="1:61" ht="24" customHeight="1">
      <c r="B7" s="56">
        <v>1</v>
      </c>
      <c r="C7" s="100"/>
      <c r="D7" s="101"/>
      <c r="E7" s="102">
        <v>2500</v>
      </c>
    </row>
    <row r="8" spans="1:61" ht="24" customHeight="1">
      <c r="B8" s="56">
        <v>2</v>
      </c>
      <c r="C8" s="100"/>
      <c r="D8" s="101"/>
      <c r="E8" s="102">
        <v>5000</v>
      </c>
    </row>
    <row r="9" spans="1:61" ht="24" customHeight="1">
      <c r="B9" s="56">
        <v>3</v>
      </c>
      <c r="C9" s="100"/>
      <c r="D9" s="101"/>
      <c r="E9" s="102">
        <v>2000</v>
      </c>
    </row>
    <row r="10" spans="1:61" ht="24" customHeight="1">
      <c r="B10" s="56">
        <v>4</v>
      </c>
      <c r="C10" s="100"/>
      <c r="D10" s="101"/>
      <c r="E10" s="102">
        <v>15000</v>
      </c>
    </row>
    <row r="11" spans="1:61" ht="24" customHeight="1">
      <c r="B11" s="57">
        <v>5</v>
      </c>
      <c r="C11" s="103"/>
      <c r="D11" s="101"/>
      <c r="E11" s="104">
        <v>10000</v>
      </c>
    </row>
    <row r="12" spans="1:61" ht="24" customHeight="1">
      <c r="B12" s="57">
        <v>6</v>
      </c>
      <c r="C12" s="103"/>
      <c r="D12" s="101"/>
      <c r="E12" s="104">
        <v>25000</v>
      </c>
    </row>
    <row r="13" spans="1:61" ht="24" customHeight="1">
      <c r="B13" s="57">
        <v>7</v>
      </c>
      <c r="C13" s="103"/>
      <c r="D13" s="101"/>
      <c r="E13" s="104">
        <v>1500</v>
      </c>
    </row>
    <row r="14" spans="1:61" ht="24" customHeight="1">
      <c r="B14" s="56">
        <v>8</v>
      </c>
      <c r="C14" s="100"/>
      <c r="D14" s="101"/>
      <c r="E14" s="102"/>
    </row>
    <row r="15" spans="1:61" ht="24" customHeight="1">
      <c r="B15" s="56">
        <v>9</v>
      </c>
      <c r="C15" s="100"/>
      <c r="D15" s="101"/>
      <c r="E15" s="102"/>
    </row>
    <row r="16" spans="1:61" ht="24" customHeight="1">
      <c r="B16" s="56">
        <v>10</v>
      </c>
      <c r="C16" s="100"/>
      <c r="D16" s="101"/>
      <c r="E16" s="102"/>
    </row>
    <row r="17" spans="2:5" ht="24" customHeight="1" thickBot="1">
      <c r="B17" s="167" t="s">
        <v>62</v>
      </c>
      <c r="C17" s="168"/>
      <c r="D17" s="169"/>
      <c r="E17" s="61">
        <f>SUM(E7:E16)</f>
        <v>61000</v>
      </c>
    </row>
    <row r="18" spans="2:5" ht="24" customHeight="1">
      <c r="B18" s="62"/>
      <c r="C18" s="62"/>
      <c r="D18" s="62"/>
      <c r="E18" s="6"/>
    </row>
    <row r="19" spans="2:5" ht="24" customHeight="1">
      <c r="B19" s="118" t="s">
        <v>63</v>
      </c>
      <c r="C19" s="118"/>
      <c r="D19" s="118"/>
      <c r="E19" s="118"/>
    </row>
    <row r="20" spans="2:5" ht="24" customHeight="1" thickBot="1">
      <c r="B20" s="62"/>
      <c r="C20" s="62"/>
      <c r="D20" s="62"/>
      <c r="E20" s="6"/>
    </row>
    <row r="21" spans="2:5" ht="24" customHeight="1">
      <c r="B21" s="87" t="s">
        <v>59</v>
      </c>
      <c r="C21" s="111" t="s">
        <v>21</v>
      </c>
      <c r="D21" s="111" t="s">
        <v>60</v>
      </c>
      <c r="E21" s="112" t="s">
        <v>64</v>
      </c>
    </row>
    <row r="22" spans="2:5" ht="24" customHeight="1">
      <c r="B22" s="56">
        <v>1</v>
      </c>
      <c r="C22" s="100"/>
      <c r="D22" s="101"/>
      <c r="E22" s="102">
        <v>0.05</v>
      </c>
    </row>
    <row r="23" spans="2:5" ht="24" customHeight="1">
      <c r="B23" s="56">
        <v>2</v>
      </c>
      <c r="C23" s="100"/>
      <c r="D23" s="101"/>
      <c r="E23" s="102">
        <v>0.2</v>
      </c>
    </row>
    <row r="24" spans="2:5" ht="24" customHeight="1">
      <c r="B24" s="56">
        <v>3</v>
      </c>
      <c r="C24" s="100"/>
      <c r="D24" s="101"/>
      <c r="E24" s="102">
        <v>0.5</v>
      </c>
    </row>
    <row r="25" spans="2:5" ht="24" customHeight="1">
      <c r="B25" s="56">
        <v>4</v>
      </c>
      <c r="C25" s="100"/>
      <c r="D25" s="101"/>
      <c r="E25" s="102">
        <v>0.1</v>
      </c>
    </row>
    <row r="26" spans="2:5" ht="24" customHeight="1">
      <c r="B26" s="57">
        <v>5</v>
      </c>
      <c r="C26" s="103"/>
      <c r="D26" s="101"/>
      <c r="E26" s="104">
        <v>1</v>
      </c>
    </row>
    <row r="27" spans="2:5" ht="24" customHeight="1">
      <c r="B27" s="57">
        <v>6</v>
      </c>
      <c r="C27" s="103"/>
      <c r="D27" s="101"/>
      <c r="E27" s="104">
        <v>0.25</v>
      </c>
    </row>
    <row r="28" spans="2:5" ht="24" customHeight="1">
      <c r="B28" s="57">
        <v>7</v>
      </c>
      <c r="C28" s="103"/>
      <c r="D28" s="101"/>
      <c r="E28" s="104"/>
    </row>
    <row r="29" spans="2:5" ht="24" customHeight="1">
      <c r="B29" s="56">
        <v>8</v>
      </c>
      <c r="C29" s="100"/>
      <c r="D29" s="101"/>
      <c r="E29" s="102"/>
    </row>
    <row r="30" spans="2:5" ht="24" customHeight="1">
      <c r="B30" s="56">
        <v>9</v>
      </c>
      <c r="C30" s="100"/>
      <c r="D30" s="101"/>
      <c r="E30" s="102"/>
    </row>
    <row r="31" spans="2:5" ht="24" customHeight="1">
      <c r="B31" s="56">
        <v>10</v>
      </c>
      <c r="C31" s="100"/>
      <c r="D31" s="101"/>
      <c r="E31" s="102"/>
    </row>
    <row r="32" spans="2:5" ht="24" customHeight="1" thickBot="1">
      <c r="B32" s="58" t="s">
        <v>65</v>
      </c>
      <c r="C32" s="59"/>
      <c r="D32" s="60"/>
      <c r="E32" s="61">
        <f>SUM(E22:E31)</f>
        <v>2.1</v>
      </c>
    </row>
  </sheetData>
  <mergeCells count="3">
    <mergeCell ref="B17:D17"/>
    <mergeCell ref="B19:E19"/>
    <mergeCell ref="B4:E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15DE-2BF0-5D4F-9177-6518C85BD84A}">
  <dimension ref="A2:BM23"/>
  <sheetViews>
    <sheetView workbookViewId="0">
      <selection activeCell="L17" sqref="L17"/>
    </sheetView>
  </sheetViews>
  <sheetFormatPr defaultColWidth="7.54296875" defaultRowHeight="24" customHeight="1"/>
  <cols>
    <col min="1" max="1" width="3" style="37" customWidth="1"/>
    <col min="2" max="2" width="28.1796875" style="37" customWidth="1"/>
    <col min="3" max="9" width="13.54296875" style="37" customWidth="1"/>
    <col min="10" max="16384" width="7.54296875" style="37"/>
  </cols>
  <sheetData>
    <row r="2" spans="1:65" s="6" customFormat="1" ht="24" customHeight="1">
      <c r="A2" s="36"/>
      <c r="B2" s="94" t="str">
        <f>CONCATENATE('2. Product Overview'!C5," Breakeven")</f>
        <v>[Example Product] Breakeven</v>
      </c>
      <c r="C2" s="94"/>
      <c r="D2" s="94"/>
      <c r="E2" s="94"/>
      <c r="F2" s="94"/>
      <c r="G2" s="94"/>
      <c r="H2" s="94"/>
      <c r="I2" s="94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</row>
    <row r="3" spans="1:65" ht="24" customHeight="1" thickBot="1"/>
    <row r="4" spans="1:65" ht="24" customHeight="1">
      <c r="B4" s="95"/>
      <c r="C4" s="88" t="s">
        <v>22</v>
      </c>
      <c r="D4" s="88" t="s">
        <v>70</v>
      </c>
      <c r="E4" s="88" t="s">
        <v>71</v>
      </c>
      <c r="F4" s="88" t="s">
        <v>72</v>
      </c>
      <c r="G4" s="88" t="s">
        <v>73</v>
      </c>
      <c r="H4" s="88" t="s">
        <v>74</v>
      </c>
      <c r="I4" s="90" t="s">
        <v>75</v>
      </c>
    </row>
    <row r="5" spans="1:65" ht="24" customHeight="1">
      <c r="B5" s="63" t="s">
        <v>66</v>
      </c>
      <c r="C5" s="67">
        <f>'3a. Unit Economics - Revenue'!C5</f>
        <v>15</v>
      </c>
      <c r="D5" s="67">
        <f>'3a. Unit Economics - Revenue'!D5</f>
        <v>15</v>
      </c>
      <c r="E5" s="67">
        <f>'3a. Unit Economics - Revenue'!E5</f>
        <v>15</v>
      </c>
      <c r="F5" s="67">
        <f>'3a. Unit Economics - Revenue'!F5</f>
        <v>15</v>
      </c>
      <c r="G5" s="67">
        <f>'3a. Unit Economics - Revenue'!G5</f>
        <v>15</v>
      </c>
      <c r="H5" s="67">
        <f>'3a. Unit Economics - Revenue'!H5</f>
        <v>15</v>
      </c>
      <c r="I5" s="71">
        <f>'3a. Unit Economics - Revenue'!I5</f>
        <v>15</v>
      </c>
    </row>
    <row r="6" spans="1:65" ht="24" customHeight="1">
      <c r="B6" s="63" t="s">
        <v>68</v>
      </c>
      <c r="C6" s="68">
        <f>'3a. Unit Economics - Revenue'!C6</f>
        <v>1000</v>
      </c>
      <c r="D6" s="68">
        <f>'3a. Unit Economics - Revenue'!D6</f>
        <v>2000</v>
      </c>
      <c r="E6" s="68">
        <f>'3a. Unit Economics - Revenue'!E6</f>
        <v>4000</v>
      </c>
      <c r="F6" s="68">
        <f>'3a. Unit Economics - Revenue'!F6</f>
        <v>8000</v>
      </c>
      <c r="G6" s="68">
        <f>'3a. Unit Economics - Revenue'!G6</f>
        <v>16000</v>
      </c>
      <c r="H6" s="68">
        <f>'3a. Unit Economics - Revenue'!H6</f>
        <v>32000</v>
      </c>
      <c r="I6" s="76">
        <f>'3a. Unit Economics - Revenue'!I6</f>
        <v>64000</v>
      </c>
    </row>
    <row r="7" spans="1:65" ht="24" customHeight="1" thickBot="1">
      <c r="B7" s="64" t="s">
        <v>69</v>
      </c>
      <c r="C7" s="65">
        <f>C5*C6</f>
        <v>15000</v>
      </c>
      <c r="D7" s="65">
        <f t="shared" ref="D7:H7" si="0">D5*D6</f>
        <v>30000</v>
      </c>
      <c r="E7" s="65">
        <f t="shared" si="0"/>
        <v>60000</v>
      </c>
      <c r="F7" s="65">
        <f t="shared" si="0"/>
        <v>120000</v>
      </c>
      <c r="G7" s="65">
        <f t="shared" si="0"/>
        <v>240000</v>
      </c>
      <c r="H7" s="65">
        <f t="shared" si="0"/>
        <v>480000</v>
      </c>
      <c r="I7" s="66">
        <f>I5*I6</f>
        <v>960000</v>
      </c>
    </row>
    <row r="8" spans="1:65" ht="24" customHeight="1" thickBot="1"/>
    <row r="9" spans="1:65" ht="24" customHeight="1">
      <c r="B9" s="95"/>
      <c r="C9" s="88" t="s">
        <v>22</v>
      </c>
      <c r="D9" s="88" t="s">
        <v>70</v>
      </c>
      <c r="E9" s="88" t="s">
        <v>71</v>
      </c>
      <c r="F9" s="88" t="s">
        <v>72</v>
      </c>
      <c r="G9" s="88" t="s">
        <v>73</v>
      </c>
      <c r="H9" s="88" t="s">
        <v>74</v>
      </c>
      <c r="I9" s="90" t="s">
        <v>75</v>
      </c>
    </row>
    <row r="10" spans="1:65" ht="24" customHeight="1">
      <c r="B10" s="63" t="s">
        <v>76</v>
      </c>
      <c r="C10" s="69">
        <f>'3b. Unit Economics - Costs'!$E$17</f>
        <v>61000</v>
      </c>
      <c r="D10" s="69">
        <f>'3b. Unit Economics - Costs'!$E$17</f>
        <v>61000</v>
      </c>
      <c r="E10" s="69">
        <f>'3b. Unit Economics - Costs'!$E$17</f>
        <v>61000</v>
      </c>
      <c r="F10" s="69">
        <f>'3b. Unit Economics - Costs'!$E$17</f>
        <v>61000</v>
      </c>
      <c r="G10" s="69">
        <f>'3b. Unit Economics - Costs'!$E$17</f>
        <v>61000</v>
      </c>
      <c r="H10" s="69">
        <f>'3b. Unit Economics - Costs'!$E$17</f>
        <v>61000</v>
      </c>
      <c r="I10" s="72">
        <f>'3b. Unit Economics - Costs'!$E$17</f>
        <v>61000</v>
      </c>
    </row>
    <row r="11" spans="1:65" ht="24" customHeight="1">
      <c r="B11" s="63" t="s">
        <v>63</v>
      </c>
      <c r="C11" s="69">
        <f>C6*'3b. Unit Economics - Costs'!$E$32</f>
        <v>2100</v>
      </c>
      <c r="D11" s="69">
        <f>D6*'3b. Unit Economics - Costs'!$E$32</f>
        <v>4200</v>
      </c>
      <c r="E11" s="69">
        <f>E6*'3b. Unit Economics - Costs'!$E$32</f>
        <v>8400</v>
      </c>
      <c r="F11" s="69">
        <f>F6*'3b. Unit Economics - Costs'!$E$32</f>
        <v>16800</v>
      </c>
      <c r="G11" s="69">
        <f>G6*'3b. Unit Economics - Costs'!$E$32</f>
        <v>33600</v>
      </c>
      <c r="H11" s="69">
        <f>H6*'3b. Unit Economics - Costs'!$E$32</f>
        <v>67200</v>
      </c>
      <c r="I11" s="72">
        <f>I6*'3b. Unit Economics - Costs'!$E$32</f>
        <v>134400</v>
      </c>
    </row>
    <row r="12" spans="1:65" ht="24" customHeight="1" thickBot="1">
      <c r="B12" s="64" t="s">
        <v>77</v>
      </c>
      <c r="C12" s="65">
        <f>SUM(C10:C11)</f>
        <v>63100</v>
      </c>
      <c r="D12" s="65">
        <f t="shared" ref="D12:I12" si="1">SUM(D10:D11)</f>
        <v>65200</v>
      </c>
      <c r="E12" s="65">
        <f t="shared" si="1"/>
        <v>69400</v>
      </c>
      <c r="F12" s="65">
        <f t="shared" si="1"/>
        <v>77800</v>
      </c>
      <c r="G12" s="65">
        <f t="shared" si="1"/>
        <v>94600</v>
      </c>
      <c r="H12" s="65">
        <f t="shared" si="1"/>
        <v>128200</v>
      </c>
      <c r="I12" s="73">
        <f t="shared" si="1"/>
        <v>195400</v>
      </c>
    </row>
    <row r="13" spans="1:65" ht="24" customHeight="1" thickBot="1"/>
    <row r="14" spans="1:65" ht="24" customHeight="1">
      <c r="B14" s="95"/>
      <c r="C14" s="88" t="s">
        <v>22</v>
      </c>
      <c r="D14" s="88" t="s">
        <v>70</v>
      </c>
      <c r="E14" s="88" t="s">
        <v>71</v>
      </c>
      <c r="F14" s="88" t="s">
        <v>72</v>
      </c>
      <c r="G14" s="88" t="s">
        <v>73</v>
      </c>
      <c r="H14" s="88" t="s">
        <v>74</v>
      </c>
      <c r="I14" s="90" t="s">
        <v>75</v>
      </c>
    </row>
    <row r="15" spans="1:65" ht="24" customHeight="1">
      <c r="B15" s="63" t="s">
        <v>79</v>
      </c>
      <c r="C15" s="69">
        <f>C7</f>
        <v>15000</v>
      </c>
      <c r="D15" s="69">
        <f t="shared" ref="D15:I15" si="2">D7</f>
        <v>30000</v>
      </c>
      <c r="E15" s="69">
        <f t="shared" si="2"/>
        <v>60000</v>
      </c>
      <c r="F15" s="69">
        <f t="shared" si="2"/>
        <v>120000</v>
      </c>
      <c r="G15" s="69">
        <f t="shared" si="2"/>
        <v>240000</v>
      </c>
      <c r="H15" s="69">
        <f t="shared" si="2"/>
        <v>480000</v>
      </c>
      <c r="I15" s="69">
        <f t="shared" si="2"/>
        <v>960000</v>
      </c>
    </row>
    <row r="16" spans="1:65" ht="24" customHeight="1">
      <c r="B16" s="63" t="s">
        <v>80</v>
      </c>
      <c r="C16" s="69">
        <f>C12</f>
        <v>63100</v>
      </c>
      <c r="D16" s="69">
        <f t="shared" ref="D16:I16" si="3">D12</f>
        <v>65200</v>
      </c>
      <c r="E16" s="69">
        <f t="shared" si="3"/>
        <v>69400</v>
      </c>
      <c r="F16" s="69">
        <f t="shared" si="3"/>
        <v>77800</v>
      </c>
      <c r="G16" s="69">
        <f t="shared" si="3"/>
        <v>94600</v>
      </c>
      <c r="H16" s="69">
        <f t="shared" si="3"/>
        <v>128200</v>
      </c>
      <c r="I16" s="69">
        <f t="shared" si="3"/>
        <v>195400</v>
      </c>
    </row>
    <row r="17" spans="2:9" ht="24" customHeight="1">
      <c r="B17" s="79" t="s">
        <v>81</v>
      </c>
      <c r="C17" s="80">
        <f>C15-C16</f>
        <v>-48100</v>
      </c>
      <c r="D17" s="80">
        <f t="shared" ref="D17:I17" si="4">D15-D16</f>
        <v>-35200</v>
      </c>
      <c r="E17" s="80">
        <f t="shared" si="4"/>
        <v>-9400</v>
      </c>
      <c r="F17" s="80">
        <f t="shared" si="4"/>
        <v>42200</v>
      </c>
      <c r="G17" s="80">
        <f t="shared" si="4"/>
        <v>145400</v>
      </c>
      <c r="H17" s="80">
        <f t="shared" si="4"/>
        <v>351800</v>
      </c>
      <c r="I17" s="80">
        <f t="shared" si="4"/>
        <v>764600</v>
      </c>
    </row>
    <row r="18" spans="2:9" ht="24" customHeight="1" thickBot="1">
      <c r="B18" s="81" t="s">
        <v>84</v>
      </c>
      <c r="C18" s="82">
        <f>C17/C15</f>
        <v>-3.2066666666666666</v>
      </c>
      <c r="D18" s="82">
        <f t="shared" ref="D18:I18" si="5">D17/D15</f>
        <v>-1.1733333333333333</v>
      </c>
      <c r="E18" s="82">
        <f t="shared" si="5"/>
        <v>-0.15666666666666668</v>
      </c>
      <c r="F18" s="82">
        <f t="shared" si="5"/>
        <v>0.35166666666666668</v>
      </c>
      <c r="G18" s="82">
        <f t="shared" si="5"/>
        <v>0.60583333333333333</v>
      </c>
      <c r="H18" s="82">
        <f t="shared" si="5"/>
        <v>0.73291666666666666</v>
      </c>
      <c r="I18" s="82">
        <f t="shared" si="5"/>
        <v>0.79645833333333338</v>
      </c>
    </row>
    <row r="19" spans="2:9" ht="24" customHeight="1" thickBot="1"/>
    <row r="20" spans="2:9" ht="24" customHeight="1">
      <c r="B20" s="95"/>
      <c r="C20" s="88" t="s">
        <v>22</v>
      </c>
      <c r="D20" s="88" t="s">
        <v>70</v>
      </c>
      <c r="E20" s="88" t="s">
        <v>71</v>
      </c>
      <c r="F20" s="88" t="s">
        <v>72</v>
      </c>
      <c r="G20" s="88" t="s">
        <v>73</v>
      </c>
      <c r="H20" s="88" t="s">
        <v>74</v>
      </c>
      <c r="I20" s="90" t="s">
        <v>75</v>
      </c>
    </row>
    <row r="21" spans="2:9" ht="24" customHeight="1">
      <c r="B21" s="63" t="s">
        <v>85</v>
      </c>
      <c r="C21" s="69">
        <f>SUM($C$7:C7)-SUM($C$12:C12)</f>
        <v>-48100</v>
      </c>
      <c r="D21" s="69">
        <f>SUM($C$7:D7)-SUM($C$12:D12)</f>
        <v>-83300</v>
      </c>
      <c r="E21" s="69">
        <f>SUM($C$7:E7)-SUM($C$12:E12)</f>
        <v>-92700</v>
      </c>
      <c r="F21" s="69">
        <f>SUM($C$7:F7)-SUM($C$12:F12)</f>
        <v>-50500</v>
      </c>
      <c r="G21" s="69">
        <f>SUM($C$7:G7)-SUM($C$12:G12)</f>
        <v>94900</v>
      </c>
      <c r="H21" s="69">
        <f>SUM($C$7:H7)-SUM($C$12:H12)</f>
        <v>446700</v>
      </c>
      <c r="I21" s="72">
        <f>SUM($C$7:I7)-SUM($C$12:I12)</f>
        <v>1211300</v>
      </c>
    </row>
    <row r="22" spans="2:9" ht="24" customHeight="1">
      <c r="B22" s="63" t="s">
        <v>78</v>
      </c>
      <c r="C22" s="70">
        <f>(C10/C6)+'3b. Unit Economics - Costs'!$E$32</f>
        <v>63.1</v>
      </c>
      <c r="D22" s="70">
        <f>(D10/D6)+'3b. Unit Economics - Costs'!$E$32</f>
        <v>32.6</v>
      </c>
      <c r="E22" s="70">
        <f>(E10/E6)+'3b. Unit Economics - Costs'!$E$32</f>
        <v>17.350000000000001</v>
      </c>
      <c r="F22" s="70">
        <f>(F10/F6)+'3b. Unit Economics - Costs'!$E$32</f>
        <v>9.7249999999999996</v>
      </c>
      <c r="G22" s="70">
        <f>(G10/G6)+'3b. Unit Economics - Costs'!$E$32</f>
        <v>5.9124999999999996</v>
      </c>
      <c r="H22" s="70">
        <f>(H10/H6)+'3b. Unit Economics - Costs'!$E$32</f>
        <v>4.0062499999999996</v>
      </c>
      <c r="I22" s="74">
        <f>(I10/I6)+'3b. Unit Economics - Costs'!$E$32</f>
        <v>3.0531250000000001</v>
      </c>
    </row>
    <row r="23" spans="2:9" ht="24" customHeight="1" thickBot="1">
      <c r="B23" s="75" t="s">
        <v>67</v>
      </c>
      <c r="C23" s="77">
        <f>C10/('3c. Unit Economics - Breakeven'!C5-'3b. Unit Economics - Costs'!$E$32)</f>
        <v>4728.6821705426355</v>
      </c>
      <c r="D23" s="77">
        <f>D10/('3c. Unit Economics - Breakeven'!D5-'3b. Unit Economics - Costs'!$E$32)</f>
        <v>4728.6821705426355</v>
      </c>
      <c r="E23" s="77">
        <f>E10/('3c. Unit Economics - Breakeven'!E5-'3b. Unit Economics - Costs'!$E$32)</f>
        <v>4728.6821705426355</v>
      </c>
      <c r="F23" s="77">
        <f>F10/('3c. Unit Economics - Breakeven'!F5-'3b. Unit Economics - Costs'!$E$32)</f>
        <v>4728.6821705426355</v>
      </c>
      <c r="G23" s="77">
        <f>G10/('3c. Unit Economics - Breakeven'!G5-'3b. Unit Economics - Costs'!$E$32)</f>
        <v>4728.6821705426355</v>
      </c>
      <c r="H23" s="77">
        <f>H10/('3c. Unit Economics - Breakeven'!H5-'3b. Unit Economics - Costs'!$E$32)</f>
        <v>4728.6821705426355</v>
      </c>
      <c r="I23" s="78">
        <f>I10/('3c. Unit Economics - Breakeven'!I5-'3b. Unit Economics - Costs'!$E$32)</f>
        <v>4728.6821705426355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3653-FA40-464E-9EB7-FE8EB8A5D1DB}">
  <dimension ref="A2:P17"/>
  <sheetViews>
    <sheetView workbookViewId="0">
      <selection activeCell="D29" sqref="D29"/>
    </sheetView>
  </sheetViews>
  <sheetFormatPr defaultColWidth="7.81640625" defaultRowHeight="24" customHeight="1"/>
  <cols>
    <col min="1" max="1" width="2.453125" style="43" customWidth="1"/>
    <col min="2" max="2" width="4.54296875" style="43" customWidth="1"/>
    <col min="3" max="3" width="42.81640625" style="44" customWidth="1"/>
    <col min="4" max="6" width="18.26953125" style="44" customWidth="1"/>
    <col min="7" max="16" width="6.1796875" style="44" customWidth="1"/>
    <col min="17" max="16384" width="7.81640625" style="43"/>
  </cols>
  <sheetData>
    <row r="2" spans="1:16" ht="24" customHeight="1">
      <c r="B2" s="172" t="str">
        <f>CONCATENATE("Launch Calendar for ",'2. Product Overview'!C5)</f>
        <v>Launch Calendar for [Example Product]</v>
      </c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</row>
    <row r="3" spans="1:16" s="35" customFormat="1" ht="24" customHeight="1" thickBot="1"/>
    <row r="4" spans="1:16" s="38" customFormat="1" ht="24" customHeight="1">
      <c r="B4" s="170" t="s">
        <v>10</v>
      </c>
      <c r="C4" s="171"/>
      <c r="D4" s="113" t="s">
        <v>26</v>
      </c>
      <c r="E4" s="113" t="s">
        <v>27</v>
      </c>
      <c r="F4" s="114" t="s">
        <v>28</v>
      </c>
      <c r="G4" s="115" t="s">
        <v>29</v>
      </c>
      <c r="H4" s="113" t="s">
        <v>30</v>
      </c>
      <c r="I4" s="113" t="s">
        <v>31</v>
      </c>
      <c r="J4" s="113" t="s">
        <v>32</v>
      </c>
      <c r="K4" s="113" t="s">
        <v>33</v>
      </c>
      <c r="L4" s="113" t="s">
        <v>34</v>
      </c>
      <c r="M4" s="113" t="s">
        <v>35</v>
      </c>
      <c r="N4" s="113" t="s">
        <v>36</v>
      </c>
      <c r="O4" s="113" t="s">
        <v>37</v>
      </c>
      <c r="P4" s="114" t="s">
        <v>38</v>
      </c>
    </row>
    <row r="5" spans="1:16" ht="24" customHeight="1">
      <c r="B5" s="173" t="s">
        <v>23</v>
      </c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5"/>
    </row>
    <row r="6" spans="1:16" ht="24" customHeight="1">
      <c r="B6" s="39">
        <v>1.1000000000000001</v>
      </c>
      <c r="C6" s="105" t="s">
        <v>10</v>
      </c>
      <c r="D6" s="106"/>
      <c r="E6" s="106"/>
      <c r="F6" s="107"/>
      <c r="G6" s="83"/>
      <c r="H6" s="83"/>
      <c r="I6" s="83"/>
      <c r="J6" s="40"/>
      <c r="K6" s="40"/>
      <c r="L6" s="40"/>
      <c r="M6" s="40"/>
      <c r="N6" s="40"/>
      <c r="O6" s="40"/>
      <c r="P6" s="45"/>
    </row>
    <row r="7" spans="1:16" ht="24" customHeight="1">
      <c r="B7" s="39">
        <v>1.2</v>
      </c>
      <c r="C7" s="105" t="s">
        <v>10</v>
      </c>
      <c r="D7" s="106"/>
      <c r="E7" s="106"/>
      <c r="F7" s="107"/>
      <c r="G7" s="40"/>
      <c r="H7" s="40"/>
      <c r="I7" s="83"/>
      <c r="J7" s="83"/>
      <c r="K7" s="83"/>
      <c r="L7" s="40"/>
      <c r="M7" s="40"/>
      <c r="N7" s="40"/>
      <c r="O7" s="40"/>
      <c r="P7" s="45"/>
    </row>
    <row r="8" spans="1:16" ht="24" customHeight="1">
      <c r="B8" s="39">
        <v>1.3</v>
      </c>
      <c r="C8" s="105" t="s">
        <v>10</v>
      </c>
      <c r="D8" s="106"/>
      <c r="E8" s="106"/>
      <c r="F8" s="107"/>
      <c r="G8" s="40"/>
      <c r="H8" s="40"/>
      <c r="I8" s="40"/>
      <c r="J8" s="83"/>
      <c r="K8" s="83"/>
      <c r="L8" s="40"/>
      <c r="M8" s="40"/>
      <c r="N8" s="40"/>
      <c r="O8" s="40"/>
      <c r="P8" s="45"/>
    </row>
    <row r="9" spans="1:16" ht="24" customHeight="1">
      <c r="B9" s="173" t="s">
        <v>24</v>
      </c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5"/>
    </row>
    <row r="10" spans="1:16" ht="24" customHeight="1">
      <c r="B10" s="39">
        <v>2.1</v>
      </c>
      <c r="C10" s="105" t="s">
        <v>10</v>
      </c>
      <c r="D10" s="106"/>
      <c r="E10" s="106"/>
      <c r="F10" s="107"/>
      <c r="G10" s="40"/>
      <c r="H10" s="40"/>
      <c r="I10" s="40"/>
      <c r="J10" s="40"/>
      <c r="K10" s="83"/>
      <c r="L10" s="83"/>
      <c r="M10" s="83"/>
      <c r="N10" s="40"/>
      <c r="O10" s="40"/>
      <c r="P10" s="45"/>
    </row>
    <row r="11" spans="1:16" ht="24" customHeight="1">
      <c r="B11" s="39">
        <v>2.2000000000000002</v>
      </c>
      <c r="C11" s="105" t="s">
        <v>10</v>
      </c>
      <c r="D11" s="106"/>
      <c r="E11" s="106"/>
      <c r="F11" s="107"/>
      <c r="G11" s="40"/>
      <c r="H11" s="40"/>
      <c r="I11" s="40"/>
      <c r="J11" s="40"/>
      <c r="K11" s="40"/>
      <c r="L11" s="83"/>
      <c r="M11" s="83"/>
      <c r="N11" s="40"/>
      <c r="O11" s="40"/>
      <c r="P11" s="45"/>
    </row>
    <row r="12" spans="1:16" ht="24" customHeight="1">
      <c r="B12" s="39">
        <v>2.2999999999999998</v>
      </c>
      <c r="C12" s="105" t="s">
        <v>10</v>
      </c>
      <c r="D12" s="106"/>
      <c r="E12" s="106"/>
      <c r="F12" s="107"/>
      <c r="G12" s="40"/>
      <c r="H12" s="40"/>
      <c r="I12" s="40"/>
      <c r="J12" s="40"/>
      <c r="K12" s="40"/>
      <c r="L12" s="40"/>
      <c r="M12" s="83"/>
      <c r="N12" s="83"/>
      <c r="O12" s="40"/>
      <c r="P12" s="45"/>
    </row>
    <row r="13" spans="1:16" ht="24" customHeight="1">
      <c r="B13" s="39">
        <v>2.4</v>
      </c>
      <c r="C13" s="105" t="s">
        <v>10</v>
      </c>
      <c r="D13" s="106"/>
      <c r="E13" s="106"/>
      <c r="F13" s="107"/>
      <c r="G13" s="40"/>
      <c r="H13" s="40"/>
      <c r="I13" s="40"/>
      <c r="J13" s="40"/>
      <c r="K13" s="40"/>
      <c r="L13" s="40"/>
      <c r="M13" s="40"/>
      <c r="N13" s="83"/>
      <c r="O13" s="40"/>
      <c r="P13" s="45"/>
    </row>
    <row r="14" spans="1:16" s="44" customFormat="1" ht="24" customHeight="1">
      <c r="A14" s="43"/>
      <c r="B14" s="173" t="s">
        <v>25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5"/>
    </row>
    <row r="15" spans="1:16" s="44" customFormat="1" ht="24" customHeight="1">
      <c r="A15" s="43"/>
      <c r="B15" s="39">
        <v>3.1</v>
      </c>
      <c r="C15" s="105" t="s">
        <v>10</v>
      </c>
      <c r="D15" s="106"/>
      <c r="E15" s="106"/>
      <c r="F15" s="107"/>
      <c r="G15" s="40"/>
      <c r="H15" s="40"/>
      <c r="I15" s="40"/>
      <c r="J15" s="40"/>
      <c r="K15" s="40"/>
      <c r="L15" s="40"/>
      <c r="M15" s="40"/>
      <c r="N15" s="83"/>
      <c r="O15" s="83"/>
      <c r="P15" s="45"/>
    </row>
    <row r="16" spans="1:16" s="44" customFormat="1" ht="24" customHeight="1">
      <c r="A16" s="43"/>
      <c r="B16" s="39">
        <v>3.2</v>
      </c>
      <c r="C16" s="105" t="s">
        <v>10</v>
      </c>
      <c r="D16" s="106"/>
      <c r="E16" s="106"/>
      <c r="F16" s="107"/>
      <c r="G16" s="40"/>
      <c r="H16" s="40"/>
      <c r="I16" s="40"/>
      <c r="J16" s="40"/>
      <c r="K16" s="40"/>
      <c r="L16" s="40"/>
      <c r="M16" s="40"/>
      <c r="N16" s="83"/>
      <c r="O16" s="83"/>
      <c r="P16" s="84"/>
    </row>
    <row r="17" spans="1:16" s="44" customFormat="1" ht="24" customHeight="1" thickBot="1">
      <c r="A17" s="43"/>
      <c r="B17" s="41">
        <v>3.3</v>
      </c>
      <c r="C17" s="108" t="s">
        <v>10</v>
      </c>
      <c r="D17" s="109"/>
      <c r="E17" s="109"/>
      <c r="F17" s="110"/>
      <c r="G17" s="42"/>
      <c r="H17" s="42"/>
      <c r="I17" s="42"/>
      <c r="J17" s="42"/>
      <c r="K17" s="42"/>
      <c r="L17" s="42"/>
      <c r="M17" s="42"/>
      <c r="N17" s="42"/>
      <c r="O17" s="85"/>
      <c r="P17" s="86"/>
    </row>
  </sheetData>
  <mergeCells count="5">
    <mergeCell ref="B4:C4"/>
    <mergeCell ref="B2:P2"/>
    <mergeCell ref="B5:P5"/>
    <mergeCell ref="B9:P9"/>
    <mergeCell ref="B14:P14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Document Details</vt:lpstr>
      <vt:lpstr>1. Checklist</vt:lpstr>
      <vt:lpstr>2. Product Overview</vt:lpstr>
      <vt:lpstr>3a. Unit Economics - Revenue</vt:lpstr>
      <vt:lpstr>3b. Unit Economics - Costs</vt:lpstr>
      <vt:lpstr>3c. Unit Economics - Breakeven</vt:lpstr>
      <vt:lpstr>4. Launch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Jaibeer Singh</cp:lastModifiedBy>
  <dcterms:created xsi:type="dcterms:W3CDTF">2022-08-23T03:38:03Z</dcterms:created>
  <dcterms:modified xsi:type="dcterms:W3CDTF">2024-05-11T02:49:35Z</dcterms:modified>
</cp:coreProperties>
</file>
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https://api.box.com/wopi/files/1527226935678/WOPIServiceId_TP_BOX_2/WOPIUserId_-/"/>
    </mc:Choice>
  </mc:AlternateContent>
  <xr:revisionPtr revIDLastSave="2" documentId="13_ncr:1_{7A8BC843-7711-EB49-A23D-00E5F4F2B5CF}" xr6:coauthVersionLast="47" xr6:coauthVersionMax="47" xr10:uidLastSave="{D714A3DA-2C37-4481-97D6-43CFA4D110BF}"/>
  <bookViews>
    <workbookView xWindow="-108" yWindow="-108" windowWidth="23256" windowHeight="13896" xr2:uid="{B712820A-EB0A-BB42-8620-D66862401926}"/>
  </bookViews>
  <sheets>
    <sheet name="0. Document Details" sheetId="8" r:id="rId1"/>
    <sheet name="1. Dashboard" sheetId="5" r:id="rId2"/>
    <sheet name="Calculations →" sheetId="7" r:id="rId3"/>
    <sheet name="2. Individual Revenue" sheetId="6" r:id="rId4"/>
    <sheet name="3. Bundle Revenue" sheetId="3" r:id="rId5"/>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 i="8" l="1"/>
  <c r="E41" i="5"/>
  <c r="D41" i="5"/>
  <c r="C41" i="5"/>
  <c r="E4" i="6"/>
  <c r="H4" i="6" s="1"/>
  <c r="D4" i="6"/>
  <c r="G4" i="6" s="1"/>
  <c r="C4" i="6"/>
  <c r="F4" i="6" s="1"/>
  <c r="L6" i="3"/>
  <c r="K6" i="3"/>
  <c r="J6" i="3"/>
  <c r="I6" i="3"/>
  <c r="H6" i="3"/>
  <c r="G6" i="3"/>
  <c r="F6" i="3"/>
  <c r="E5" i="3"/>
  <c r="D5" i="3"/>
  <c r="C5" i="3"/>
  <c r="F5" i="3" s="1"/>
  <c r="E36" i="3"/>
  <c r="D36" i="3"/>
  <c r="C36" i="3"/>
  <c r="E35" i="3"/>
  <c r="D35" i="3"/>
  <c r="C35" i="3"/>
  <c r="E34" i="3"/>
  <c r="D34" i="3"/>
  <c r="C34" i="3"/>
  <c r="E33" i="3"/>
  <c r="D33" i="3"/>
  <c r="C33" i="3"/>
  <c r="E32" i="3"/>
  <c r="D32" i="3"/>
  <c r="C32" i="3"/>
  <c r="E31" i="3"/>
  <c r="D31" i="3"/>
  <c r="C31" i="3"/>
  <c r="E30" i="3"/>
  <c r="D30" i="3"/>
  <c r="G30" i="3" s="1"/>
  <c r="C30" i="3"/>
  <c r="F30" i="3" s="1"/>
  <c r="E29" i="3"/>
  <c r="D29" i="3"/>
  <c r="C29" i="3"/>
  <c r="E28" i="3"/>
  <c r="D28" i="3"/>
  <c r="C28" i="3"/>
  <c r="E27" i="3"/>
  <c r="D27" i="3"/>
  <c r="C27" i="3"/>
  <c r="E26" i="3"/>
  <c r="D26" i="3"/>
  <c r="C26" i="3"/>
  <c r="E25" i="3"/>
  <c r="D25" i="3"/>
  <c r="C25" i="3"/>
  <c r="E24" i="3"/>
  <c r="D24" i="3"/>
  <c r="C24" i="3"/>
  <c r="E23" i="3"/>
  <c r="D23" i="3"/>
  <c r="C23" i="3"/>
  <c r="E22" i="3"/>
  <c r="D22" i="3"/>
  <c r="G22" i="3" s="1"/>
  <c r="C22" i="3"/>
  <c r="E21" i="3"/>
  <c r="D21" i="3"/>
  <c r="C21" i="3"/>
  <c r="E20" i="3"/>
  <c r="D20" i="3"/>
  <c r="C20" i="3"/>
  <c r="E19" i="3"/>
  <c r="D19" i="3"/>
  <c r="C19" i="3"/>
  <c r="E18" i="3"/>
  <c r="D18" i="3"/>
  <c r="C18" i="3"/>
  <c r="E17" i="3"/>
  <c r="D17" i="3"/>
  <c r="C17" i="3"/>
  <c r="E16" i="3"/>
  <c r="D16" i="3"/>
  <c r="C16" i="3"/>
  <c r="E15" i="3"/>
  <c r="D15" i="3"/>
  <c r="C15" i="3"/>
  <c r="E14" i="3"/>
  <c r="H14" i="3" s="1"/>
  <c r="D14" i="3"/>
  <c r="G14" i="3" s="1"/>
  <c r="C14" i="3"/>
  <c r="E13" i="3"/>
  <c r="D13" i="3"/>
  <c r="C13" i="3"/>
  <c r="E12" i="3"/>
  <c r="D12" i="3"/>
  <c r="C12" i="3"/>
  <c r="E11" i="3"/>
  <c r="D11" i="3"/>
  <c r="C11" i="3"/>
  <c r="E10" i="3"/>
  <c r="D10" i="3"/>
  <c r="C10" i="3"/>
  <c r="E9" i="3"/>
  <c r="D9" i="3"/>
  <c r="C9" i="3"/>
  <c r="E8" i="3"/>
  <c r="D8" i="3"/>
  <c r="C8" i="3"/>
  <c r="E7" i="3"/>
  <c r="D7" i="3"/>
  <c r="C7" i="3"/>
  <c r="E5" i="6"/>
  <c r="H5" i="6" s="1"/>
  <c r="D5" i="6"/>
  <c r="G5" i="6" s="1"/>
  <c r="C5" i="6"/>
  <c r="F5" i="6" s="1"/>
  <c r="E35" i="6"/>
  <c r="D35" i="6"/>
  <c r="C35" i="6"/>
  <c r="E34" i="6"/>
  <c r="D34" i="6"/>
  <c r="C34" i="6"/>
  <c r="E33" i="6"/>
  <c r="D33" i="6"/>
  <c r="C33" i="6"/>
  <c r="E32" i="6"/>
  <c r="D32" i="6"/>
  <c r="C32" i="6"/>
  <c r="E31" i="6"/>
  <c r="D31" i="6"/>
  <c r="C31" i="6"/>
  <c r="E30" i="6"/>
  <c r="D30" i="6"/>
  <c r="C30" i="6"/>
  <c r="E29" i="6"/>
  <c r="D29" i="6"/>
  <c r="C29" i="6"/>
  <c r="E28" i="6"/>
  <c r="D28" i="6"/>
  <c r="C28" i="6"/>
  <c r="E27" i="6"/>
  <c r="D27" i="6"/>
  <c r="C27" i="6"/>
  <c r="E26" i="6"/>
  <c r="D26" i="6"/>
  <c r="C26" i="6"/>
  <c r="E25" i="6"/>
  <c r="D25" i="6"/>
  <c r="C25" i="6"/>
  <c r="E24" i="6"/>
  <c r="D24" i="6"/>
  <c r="C24" i="6"/>
  <c r="E23" i="6"/>
  <c r="D23" i="6"/>
  <c r="C23" i="6"/>
  <c r="E22" i="6"/>
  <c r="D22" i="6"/>
  <c r="C22" i="6"/>
  <c r="E21" i="6"/>
  <c r="D21" i="6"/>
  <c r="C21" i="6"/>
  <c r="E20" i="6"/>
  <c r="D20" i="6"/>
  <c r="C20" i="6"/>
  <c r="E19" i="6"/>
  <c r="D19" i="6"/>
  <c r="C19" i="6"/>
  <c r="E18" i="6"/>
  <c r="D18" i="6"/>
  <c r="C18" i="6"/>
  <c r="E17" i="6"/>
  <c r="D17" i="6"/>
  <c r="C17" i="6"/>
  <c r="E16" i="6"/>
  <c r="D16" i="6"/>
  <c r="C16" i="6"/>
  <c r="E15" i="6"/>
  <c r="D15" i="6"/>
  <c r="C15" i="6"/>
  <c r="E14" i="6"/>
  <c r="D14" i="6"/>
  <c r="C14" i="6"/>
  <c r="E13" i="6"/>
  <c r="D13" i="6"/>
  <c r="C13" i="6"/>
  <c r="E12" i="6"/>
  <c r="D12" i="6"/>
  <c r="C12" i="6"/>
  <c r="E11" i="6"/>
  <c r="D11" i="6"/>
  <c r="C11" i="6"/>
  <c r="E10" i="6"/>
  <c r="D10" i="6"/>
  <c r="C10" i="6"/>
  <c r="E9" i="6"/>
  <c r="D9" i="6"/>
  <c r="C9" i="6"/>
  <c r="E8" i="6"/>
  <c r="D8" i="6"/>
  <c r="C8" i="6"/>
  <c r="E7" i="6"/>
  <c r="D7" i="6"/>
  <c r="C7" i="6"/>
  <c r="E6" i="6"/>
  <c r="D6" i="6"/>
  <c r="C6" i="6"/>
  <c r="B48" i="5"/>
  <c r="B45" i="5"/>
  <c r="B46" i="5"/>
  <c r="B47" i="5"/>
  <c r="B49" i="5"/>
  <c r="B50" i="5"/>
  <c r="B51" i="5"/>
  <c r="E10" i="5"/>
  <c r="D10" i="5"/>
  <c r="C10" i="5"/>
  <c r="G11" i="3" l="1"/>
  <c r="G19" i="3"/>
  <c r="I12" i="3"/>
  <c r="K18" i="3"/>
  <c r="K24" i="3"/>
  <c r="I16" i="3"/>
  <c r="I24" i="3"/>
  <c r="I20" i="3"/>
  <c r="K7" i="3"/>
  <c r="K31" i="3"/>
  <c r="K36" i="3"/>
  <c r="I36" i="3"/>
  <c r="K19" i="3"/>
  <c r="K35" i="3"/>
  <c r="J25" i="3"/>
  <c r="I8" i="3"/>
  <c r="I28" i="3"/>
  <c r="K12" i="3"/>
  <c r="K25" i="3"/>
  <c r="K13" i="3"/>
  <c r="K26" i="3"/>
  <c r="K15" i="3"/>
  <c r="K14" i="3"/>
  <c r="K20" i="3"/>
  <c r="K27" i="3"/>
  <c r="K8" i="3"/>
  <c r="K21" i="3"/>
  <c r="K9" i="3"/>
  <c r="K28" i="3"/>
  <c r="K10" i="3"/>
  <c r="K16" i="3"/>
  <c r="K23" i="3"/>
  <c r="K29" i="3"/>
  <c r="K34" i="3"/>
  <c r="K22" i="3"/>
  <c r="K32" i="3"/>
  <c r="K11" i="3"/>
  <c r="K17" i="3"/>
  <c r="I17" i="3"/>
  <c r="I29" i="3"/>
  <c r="I10" i="3"/>
  <c r="I14" i="3"/>
  <c r="I22" i="3"/>
  <c r="I26" i="3"/>
  <c r="I30" i="3"/>
  <c r="I9" i="3"/>
  <c r="I21" i="3"/>
  <c r="I18" i="3"/>
  <c r="I13" i="3"/>
  <c r="I25" i="3"/>
  <c r="I7" i="3"/>
  <c r="I11" i="3"/>
  <c r="I15" i="3"/>
  <c r="I19" i="3"/>
  <c r="I23" i="3"/>
  <c r="I27" i="3"/>
  <c r="J36" i="3"/>
  <c r="J12" i="3"/>
  <c r="J20" i="3"/>
  <c r="J28" i="3"/>
  <c r="J7" i="3"/>
  <c r="J15" i="3"/>
  <c r="J23" i="3"/>
  <c r="J10" i="3"/>
  <c r="J21" i="3"/>
  <c r="J16" i="3"/>
  <c r="J35" i="3"/>
  <c r="J11" i="3"/>
  <c r="J19" i="3"/>
  <c r="J27" i="3"/>
  <c r="J18" i="3"/>
  <c r="J14" i="3"/>
  <c r="J22" i="3"/>
  <c r="J26" i="3"/>
  <c r="J13" i="3"/>
  <c r="J29" i="3"/>
  <c r="J8" i="3"/>
  <c r="J24" i="3"/>
  <c r="J33" i="3"/>
  <c r="J9" i="3"/>
  <c r="J17" i="3"/>
  <c r="I31" i="3"/>
  <c r="K33" i="3"/>
  <c r="J32" i="3"/>
  <c r="I33" i="3"/>
  <c r="J31" i="3"/>
  <c r="I34" i="3"/>
  <c r="J34" i="3"/>
  <c r="I32" i="3"/>
  <c r="L35" i="3"/>
  <c r="I35" i="3"/>
  <c r="J30" i="3"/>
  <c r="K30" i="3"/>
  <c r="L8" i="3"/>
  <c r="L10" i="3"/>
  <c r="L12" i="3"/>
  <c r="L14" i="3"/>
  <c r="L16" i="3"/>
  <c r="L18" i="3"/>
  <c r="L20" i="3"/>
  <c r="L22" i="3"/>
  <c r="L24" i="3"/>
  <c r="L26" i="3"/>
  <c r="L28" i="3"/>
  <c r="L30" i="3"/>
  <c r="L32" i="3"/>
  <c r="L34" i="3"/>
  <c r="L36" i="3"/>
  <c r="L7" i="3"/>
  <c r="M7" i="3" s="1" a="1"/>
  <c r="M7" i="3" s="1"/>
  <c r="L9" i="3"/>
  <c r="L11" i="3"/>
  <c r="L13" i="3"/>
  <c r="L15" i="3"/>
  <c r="L17" i="3"/>
  <c r="L19" i="3"/>
  <c r="L21" i="3"/>
  <c r="L23" i="3"/>
  <c r="L25" i="3"/>
  <c r="L27" i="3"/>
  <c r="L29" i="3"/>
  <c r="L31" i="3"/>
  <c r="L33" i="3"/>
  <c r="F27" i="3"/>
  <c r="H22" i="3"/>
  <c r="F11" i="3"/>
  <c r="F19" i="3"/>
  <c r="H24" i="3"/>
  <c r="F26" i="3"/>
  <c r="F24" i="3"/>
  <c r="F32" i="3"/>
  <c r="F14" i="3"/>
  <c r="F22" i="3"/>
  <c r="F35" i="3"/>
  <c r="H30" i="3"/>
  <c r="G27" i="3"/>
  <c r="H20" i="3"/>
  <c r="H12" i="3"/>
  <c r="F29" i="6"/>
  <c r="H8" i="3"/>
  <c r="H16" i="3"/>
  <c r="H32" i="3"/>
  <c r="H28" i="3"/>
  <c r="H11" i="3"/>
  <c r="H19" i="3"/>
  <c r="H27" i="3"/>
  <c r="H35" i="3"/>
  <c r="H35" i="6"/>
  <c r="H25" i="6"/>
  <c r="G26" i="6"/>
  <c r="G28" i="6"/>
  <c r="G7" i="6"/>
  <c r="G29" i="6"/>
  <c r="F21" i="6"/>
  <c r="G13" i="6"/>
  <c r="G21" i="6"/>
  <c r="G8" i="6"/>
  <c r="F11" i="6"/>
  <c r="G16" i="6"/>
  <c r="G24" i="6"/>
  <c r="F27" i="6"/>
  <c r="G32" i="6"/>
  <c r="F35" i="6"/>
  <c r="F6" i="6"/>
  <c r="G11" i="6"/>
  <c r="F14" i="6"/>
  <c r="F22" i="6"/>
  <c r="G27" i="6"/>
  <c r="F30" i="6"/>
  <c r="G35" i="6"/>
  <c r="G6" i="6"/>
  <c r="G14" i="6"/>
  <c r="G30" i="6"/>
  <c r="G35" i="3"/>
  <c r="H15" i="6"/>
  <c r="H22" i="6"/>
  <c r="F13" i="3"/>
  <c r="F21" i="3"/>
  <c r="F29" i="3"/>
  <c r="F8" i="6"/>
  <c r="H10" i="6"/>
  <c r="F16" i="6"/>
  <c r="H18" i="6"/>
  <c r="F24" i="6"/>
  <c r="H26" i="6"/>
  <c r="F32" i="6"/>
  <c r="H34" i="6"/>
  <c r="G25" i="6"/>
  <c r="F25" i="6"/>
  <c r="H28" i="6"/>
  <c r="H6" i="6"/>
  <c r="G9" i="6"/>
  <c r="F12" i="6"/>
  <c r="H14" i="6"/>
  <c r="G17" i="6"/>
  <c r="F20" i="6"/>
  <c r="F28" i="6"/>
  <c r="H30" i="6"/>
  <c r="G33" i="6"/>
  <c r="G10" i="6"/>
  <c r="G31" i="6"/>
  <c r="F9" i="6"/>
  <c r="H7" i="6"/>
  <c r="H36" i="3"/>
  <c r="H9" i="6"/>
  <c r="F15" i="6"/>
  <c r="G20" i="6"/>
  <c r="F31" i="6"/>
  <c r="G19" i="6"/>
  <c r="H31" i="6"/>
  <c r="F34" i="3"/>
  <c r="H12" i="6"/>
  <c r="G15" i="6"/>
  <c r="F18" i="6"/>
  <c r="G23" i="6"/>
  <c r="F34" i="6"/>
  <c r="G22" i="6"/>
  <c r="G34" i="6"/>
  <c r="F13" i="6"/>
  <c r="H23" i="6"/>
  <c r="G12" i="6"/>
  <c r="G18" i="6"/>
  <c r="H33" i="6"/>
  <c r="F10" i="6"/>
  <c r="F19" i="6"/>
  <c r="H17" i="6"/>
  <c r="F33" i="6"/>
  <c r="F7" i="6"/>
  <c r="F17" i="6"/>
  <c r="F23" i="6"/>
  <c r="F26" i="6"/>
  <c r="H20" i="6"/>
  <c r="H21" i="6"/>
  <c r="H8" i="6"/>
  <c r="H16" i="6"/>
  <c r="H24" i="6"/>
  <c r="H32" i="6"/>
  <c r="H13" i="6"/>
  <c r="H29" i="6"/>
  <c r="H11" i="6"/>
  <c r="H19" i="6"/>
  <c r="H27" i="6"/>
  <c r="F16" i="3"/>
  <c r="F18" i="3"/>
  <c r="F33" i="3"/>
  <c r="G29" i="3"/>
  <c r="G25" i="3"/>
  <c r="F9" i="3"/>
  <c r="F17" i="3"/>
  <c r="F25" i="3"/>
  <c r="F10" i="3"/>
  <c r="F12" i="3"/>
  <c r="F28" i="3"/>
  <c r="F36" i="3"/>
  <c r="H9" i="3"/>
  <c r="H17" i="3"/>
  <c r="F23" i="3"/>
  <c r="G28" i="3"/>
  <c r="H33" i="3"/>
  <c r="F8" i="3"/>
  <c r="G9" i="3"/>
  <c r="G17" i="3"/>
  <c r="F20" i="3"/>
  <c r="G33" i="3"/>
  <c r="H29" i="3"/>
  <c r="G12" i="3"/>
  <c r="F15" i="3"/>
  <c r="G20" i="3"/>
  <c r="H25" i="3"/>
  <c r="F31" i="3"/>
  <c r="G36" i="3"/>
  <c r="G23" i="3"/>
  <c r="H15" i="3"/>
  <c r="H31" i="3"/>
  <c r="G13" i="3"/>
  <c r="F7" i="3"/>
  <c r="G7" i="3"/>
  <c r="H23" i="3"/>
  <c r="G21" i="3"/>
  <c r="G8" i="3"/>
  <c r="G16" i="3"/>
  <c r="G32" i="3"/>
  <c r="G31" i="3"/>
  <c r="H7" i="3"/>
  <c r="G18" i="3"/>
  <c r="G26" i="3"/>
  <c r="G34" i="3"/>
  <c r="H10" i="3"/>
  <c r="H26" i="3"/>
  <c r="H13" i="3"/>
  <c r="G24" i="3"/>
  <c r="G15" i="3"/>
  <c r="G10" i="3"/>
  <c r="H18" i="3"/>
  <c r="H34" i="3"/>
  <c r="H21" i="3"/>
  <c r="L5" i="3"/>
  <c r="J5" i="3"/>
  <c r="G5" i="3"/>
  <c r="H5" i="3"/>
  <c r="I5" i="3"/>
  <c r="K5" i="3"/>
  <c r="J12" i="6" l="1"/>
  <c r="J24" i="6"/>
  <c r="J10" i="6"/>
  <c r="M25" i="3" a="1"/>
  <c r="M25" i="3" s="1"/>
  <c r="O25" i="3" s="1"/>
  <c r="M24" i="3" a="1"/>
  <c r="M24" i="3" s="1"/>
  <c r="O24" i="3" s="1"/>
  <c r="M21" i="3" a="1"/>
  <c r="M21" i="3" s="1"/>
  <c r="O21" i="3" s="1"/>
  <c r="M20" i="3" a="1"/>
  <c r="M20" i="3" s="1"/>
  <c r="O20" i="3" s="1"/>
  <c r="M17" i="3" a="1"/>
  <c r="M17" i="3" s="1"/>
  <c r="O17" i="3" s="1"/>
  <c r="M16" i="3" a="1"/>
  <c r="M16" i="3" s="1"/>
  <c r="O16" i="3" s="1"/>
  <c r="O7" i="3"/>
  <c r="M8" i="3" a="1"/>
  <c r="M8" i="3" s="1"/>
  <c r="O8" i="3" s="1"/>
  <c r="M29" i="3" a="1"/>
  <c r="M29" i="3" s="1"/>
  <c r="O29" i="3" s="1"/>
  <c r="M13" i="3" a="1"/>
  <c r="M13" i="3" s="1"/>
  <c r="O13" i="3" s="1"/>
  <c r="M28" i="3" a="1"/>
  <c r="M28" i="3" s="1"/>
  <c r="O28" i="3" s="1"/>
  <c r="M12" i="3" a="1"/>
  <c r="M12" i="3" s="1"/>
  <c r="O12" i="3" s="1"/>
  <c r="M27" i="3" a="1"/>
  <c r="M27" i="3" s="1"/>
  <c r="O27" i="3" s="1"/>
  <c r="M19" i="3" a="1"/>
  <c r="M19" i="3" s="1"/>
  <c r="O19" i="3" s="1"/>
  <c r="M11" i="3" a="1"/>
  <c r="M11" i="3" s="1"/>
  <c r="O11" i="3" s="1"/>
  <c r="M26" i="3" a="1"/>
  <c r="M26" i="3" s="1"/>
  <c r="O26" i="3" s="1"/>
  <c r="M23" i="3" a="1"/>
  <c r="M23" i="3" s="1"/>
  <c r="O23" i="3" s="1"/>
  <c r="M18" i="3" a="1"/>
  <c r="M18" i="3" s="1"/>
  <c r="O18" i="3" s="1"/>
  <c r="M10" i="3" a="1"/>
  <c r="M10" i="3" s="1"/>
  <c r="O10" i="3" s="1"/>
  <c r="M9" i="3" a="1"/>
  <c r="M9" i="3" s="1"/>
  <c r="O9" i="3" s="1"/>
  <c r="M15" i="3" a="1"/>
  <c r="M15" i="3" s="1"/>
  <c r="O15" i="3" s="1"/>
  <c r="M14" i="3" a="1"/>
  <c r="M14" i="3" s="1"/>
  <c r="O14" i="3" s="1"/>
  <c r="M36" i="3" a="1"/>
  <c r="M36" i="3" s="1"/>
  <c r="O36" i="3" s="1"/>
  <c r="M34" i="3" a="1"/>
  <c r="M34" i="3" s="1"/>
  <c r="O34" i="3" s="1"/>
  <c r="M33" i="3" a="1"/>
  <c r="M33" i="3" s="1"/>
  <c r="O33" i="3" s="1"/>
  <c r="M32" i="3" a="1"/>
  <c r="M32" i="3" s="1"/>
  <c r="O32" i="3" s="1"/>
  <c r="M35" i="3" a="1"/>
  <c r="M35" i="3" s="1"/>
  <c r="O35" i="3" s="1"/>
  <c r="M31" i="3" a="1"/>
  <c r="M31" i="3" s="1"/>
  <c r="O31" i="3" s="1"/>
  <c r="M30" i="3" a="1"/>
  <c r="M30" i="3" s="1"/>
  <c r="O30" i="3" s="1"/>
  <c r="M22" i="3" a="1"/>
  <c r="M22" i="3" s="1"/>
  <c r="O22" i="3" s="1"/>
  <c r="N22" i="3" a="1"/>
  <c r="N22" i="3" s="1"/>
  <c r="J30" i="6"/>
  <c r="N9" i="3" a="1"/>
  <c r="N9" i="3" s="1"/>
  <c r="N13" i="3" a="1"/>
  <c r="N13" i="3" s="1"/>
  <c r="N7" i="3" a="1"/>
  <c r="N7" i="3" s="1"/>
  <c r="N11" i="3" a="1"/>
  <c r="N11" i="3" s="1"/>
  <c r="N8" i="3" a="1"/>
  <c r="N8" i="3" s="1"/>
  <c r="N12" i="3" a="1"/>
  <c r="N12" i="3" s="1"/>
  <c r="N10" i="3" a="1"/>
  <c r="N10" i="3" s="1"/>
  <c r="J13" i="6"/>
  <c r="J20" i="6"/>
  <c r="J8" i="6"/>
  <c r="J6" i="6"/>
  <c r="N14" i="3" a="1"/>
  <c r="N14" i="3" s="1"/>
  <c r="J33" i="6"/>
  <c r="J29" i="6"/>
  <c r="J35" i="6"/>
  <c r="J19" i="6"/>
  <c r="J9" i="6"/>
  <c r="J32" i="6"/>
  <c r="J21" i="6"/>
  <c r="J27" i="6"/>
  <c r="J23" i="6"/>
  <c r="J18" i="6"/>
  <c r="J22" i="6"/>
  <c r="J26" i="6"/>
  <c r="J17" i="6"/>
  <c r="J16" i="6"/>
  <c r="J14" i="6"/>
  <c r="J11" i="6"/>
  <c r="J34" i="6"/>
  <c r="J31" i="6"/>
  <c r="J15" i="6"/>
  <c r="J7" i="6"/>
  <c r="J28" i="6"/>
  <c r="J25" i="6"/>
  <c r="I30" i="6"/>
  <c r="I35" i="6"/>
  <c r="I29" i="6"/>
  <c r="I18" i="6"/>
  <c r="I6" i="6"/>
  <c r="I15" i="6"/>
  <c r="I21" i="6"/>
  <c r="I34" i="6"/>
  <c r="I27" i="6"/>
  <c r="I11" i="6"/>
  <c r="I10" i="6"/>
  <c r="I14" i="6"/>
  <c r="I24" i="6"/>
  <c r="I7" i="6"/>
  <c r="I16" i="6"/>
  <c r="I31" i="6"/>
  <c r="I28" i="6"/>
  <c r="I25" i="6"/>
  <c r="G36" i="6"/>
  <c r="I22" i="6"/>
  <c r="I8" i="6"/>
  <c r="I20" i="6"/>
  <c r="I26" i="6"/>
  <c r="I23" i="6"/>
  <c r="I9" i="6"/>
  <c r="I32" i="6"/>
  <c r="I17" i="6"/>
  <c r="I12" i="6"/>
  <c r="I19" i="6"/>
  <c r="H36" i="6"/>
  <c r="I33" i="6"/>
  <c r="I13" i="6"/>
  <c r="F36" i="6"/>
  <c r="N33" i="3" l="1" a="1"/>
  <c r="N33" i="3" s="1"/>
  <c r="N19" i="3" a="1"/>
  <c r="N19" i="3" s="1"/>
  <c r="N25" i="3" a="1"/>
  <c r="N25" i="3" s="1"/>
  <c r="N16" i="3" a="1"/>
  <c r="N16" i="3" s="1"/>
  <c r="N34" i="3" a="1"/>
  <c r="N34" i="3" s="1"/>
  <c r="N18" i="3" a="1"/>
  <c r="N18" i="3" s="1"/>
  <c r="N24" i="3" a="1"/>
  <c r="N24" i="3" s="1"/>
  <c r="N21" i="3" a="1"/>
  <c r="N21" i="3" s="1"/>
  <c r="N17" i="3" a="1"/>
  <c r="N17" i="3" s="1"/>
  <c r="N15" i="3" a="1"/>
  <c r="N15" i="3" s="1"/>
  <c r="N23" i="3" a="1"/>
  <c r="N23" i="3" s="1"/>
  <c r="J36" i="6"/>
  <c r="I7" i="5" s="1"/>
  <c r="N32" i="3" a="1"/>
  <c r="N32" i="3" s="1"/>
  <c r="N20" i="3" a="1"/>
  <c r="N20" i="3" s="1"/>
  <c r="N35" i="3" a="1"/>
  <c r="N35" i="3" s="1"/>
  <c r="N26" i="3" a="1"/>
  <c r="N26" i="3" s="1"/>
  <c r="N31" i="3" a="1"/>
  <c r="N31" i="3" s="1"/>
  <c r="N28" i="3" a="1"/>
  <c r="N28" i="3" s="1"/>
  <c r="N27" i="3" a="1"/>
  <c r="N27" i="3" s="1"/>
  <c r="N29" i="3" a="1"/>
  <c r="N29" i="3" s="1"/>
  <c r="N36" i="3" a="1"/>
  <c r="N36" i="3" s="1"/>
  <c r="N30" i="3" a="1"/>
  <c r="N30" i="3" s="1"/>
  <c r="I36" i="6"/>
  <c r="I8" i="5" l="1"/>
  <c r="I6" i="5"/>
  <c r="N37" i="3"/>
  <c r="J7" i="5" s="1"/>
  <c r="K7" i="5" s="1"/>
  <c r="O37" i="3"/>
  <c r="J8" i="5" l="1"/>
  <c r="K8" i="5" s="1"/>
  <c r="J6" i="5"/>
  <c r="K6" i="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<sst xmlns="http://schemas.openxmlformats.org/spreadsheetml/2006/main" count="149" uniqueCount="80">
  <si>
    <t>Revenue</t>
  </si>
  <si>
    <t>Price</t>
  </si>
  <si>
    <t>Customer 1</t>
  </si>
  <si>
    <t>Customer 2</t>
  </si>
  <si>
    <t>Customer 3</t>
  </si>
  <si>
    <t>Customer 4</t>
  </si>
  <si>
    <t>Customer 5</t>
  </si>
  <si>
    <t>Customer 6</t>
  </si>
  <si>
    <t>Customer 7</t>
  </si>
  <si>
    <t>Customer 8</t>
  </si>
  <si>
    <t>Customer 9</t>
  </si>
  <si>
    <t>Customer 10</t>
  </si>
  <si>
    <t>Customer 11</t>
  </si>
  <si>
    <t>Customer 12</t>
  </si>
  <si>
    <t>Customer 13</t>
  </si>
  <si>
    <t>Customer 14</t>
  </si>
  <si>
    <t>Customer 15</t>
  </si>
  <si>
    <t>Customer 16</t>
  </si>
  <si>
    <t>Customer 17</t>
  </si>
  <si>
    <t>Customer 18</t>
  </si>
  <si>
    <t>Customer 19</t>
  </si>
  <si>
    <t>Customer 20</t>
  </si>
  <si>
    <t>Customer 21</t>
  </si>
  <si>
    <t>Customer 22</t>
  </si>
  <si>
    <t>Customer 23</t>
  </si>
  <si>
    <t>Customer 24</t>
  </si>
  <si>
    <t>Customer 25</t>
  </si>
  <si>
    <t>Customer 26</t>
  </si>
  <si>
    <t>Customer 27</t>
  </si>
  <si>
    <t>Customer 28</t>
  </si>
  <si>
    <t>Customer 29</t>
  </si>
  <si>
    <t>Customer 30</t>
  </si>
  <si>
    <t>Product</t>
  </si>
  <si>
    <t>Total Revenue</t>
  </si>
  <si>
    <t>Customer Perceived Value</t>
  </si>
  <si>
    <t>Total</t>
  </si>
  <si>
    <t>A</t>
  </si>
  <si>
    <t>B</t>
  </si>
  <si>
    <t>C</t>
  </si>
  <si>
    <t>Individual Value Differential</t>
  </si>
  <si>
    <t>Bundle Value Differential</t>
  </si>
  <si>
    <t>Purchases</t>
  </si>
  <si>
    <t>Product Purchased</t>
  </si>
  <si>
    <t>Product Name</t>
  </si>
  <si>
    <t>Product 1</t>
  </si>
  <si>
    <t>Product 2</t>
  </si>
  <si>
    <t>Product 3</t>
  </si>
  <si>
    <t>Number of Products</t>
  </si>
  <si>
    <t>Products</t>
  </si>
  <si>
    <t>Individual Pricing</t>
  </si>
  <si>
    <t>Bundled Pricing</t>
  </si>
  <si>
    <t>Average Purchase Value</t>
  </si>
  <si>
    <t>Difference</t>
  </si>
  <si>
    <t>Number of Products Purchased</t>
  </si>
  <si>
    <t>Average</t>
  </si>
  <si>
    <t>Revenue / Customer</t>
  </si>
  <si>
    <t>INPUTS</t>
  </si>
  <si>
    <t>Key Metrics</t>
  </si>
  <si>
    <t>OUTPUTS</t>
  </si>
  <si>
    <t>How to use this tool</t>
  </si>
  <si>
    <t>Document details</t>
  </si>
  <si>
    <t>Document owner</t>
  </si>
  <si>
    <t>Joe Bloggs</t>
  </si>
  <si>
    <t>Document version</t>
  </si>
  <si>
    <t>1.0</t>
  </si>
  <si>
    <t>Last updated</t>
  </si>
  <si>
    <t>Cell Reference</t>
  </si>
  <si>
    <t>Grey</t>
  </si>
  <si>
    <t>Title / Text (Do not overwrite)</t>
  </si>
  <si>
    <t>White</t>
  </si>
  <si>
    <t>Calculation (Do not overwrite)</t>
  </si>
  <si>
    <t>Input (Overwrite)</t>
  </si>
  <si>
    <t>Step 1. Set product names</t>
  </si>
  <si>
    <t>Bundle Pricing Tool</t>
  </si>
  <si>
    <t>First, set the names of your products. You can enter up to three products and the names will propagate throughout the Excel sheets.</t>
  </si>
  <si>
    <t>This bundle pricing tool assumes that customers want to maximize the difference between their perceived value of a product and the actual cost (i.e. they want to maximimize value for money). To calculate this, you will need to survey customers to determine how much they believe each product is worth. Input the results into the worksheet:</t>
  </si>
  <si>
    <t>Step 3. Test product prices</t>
  </si>
  <si>
    <t>Now you must input prices for each product and product bundle. This worksheet will automatically estimate the revenue generated from each pricing combination and compare individual pricing vs bundled pricing. Continue to change price variables until you've determined your desired price.</t>
  </si>
  <si>
    <t>Step 2. Survey and input customer perceived value</t>
  </si>
  <si>
    <t>Blue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</si>
</sst>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_(&quot;$&quot;* \(#,##0.00\);_(&quot;$&quot;* &quot;-&quot;??_);_(@_)"/>
    <numFmt numFmtId="165" formatCode="_(* #,##0.00_);_(* \(#,##0.00\);_(* &quot;-&quot;??_);_(@_)"/>
    <numFmt numFmtId="166" formatCode="_(* #,##0_);_(* \(#,##0\);_(* &quot;-&quot;??_);_(@_)"/>
    <numFmt numFmtId="167" formatCode="&quot;$&quot;#,##0.00"/>
  </numFmts>
  <fonts count="14">
    <font>
      <sz val="12"/>
      <color theme="1"/>
      <name val="Calibri"/>
      <family val="2"/>
      <scheme val="minor"/>
    </font>
    <font>
      <sz val="12"/>
      <color theme="1"/>
      <name val="Calibri"/>
      <family val="2"/>
      <scheme val="minor"/>
    </font>
    <font>
      <sz val="12"/>
      <color theme="1"/>
      <name val="Arial"/>
      <family val="2"/>
    </font>
    <font>
      <b/>
      <sz val="12"/>
      <color rgb="FFFFFFFF"/>
      <name val="Arial"/>
      <family val="2"/>
    </font>
    <font>
      <sz val="12"/>
      <color rgb="FF000000"/>
      <name val="Arial"/>
      <family val="2"/>
    </font>
    <font>
      <b/>
      <sz val="12"/>
      <color theme="1"/>
      <name val="Arial"/>
      <family val="2"/>
    </font>
    <font>
      <sz val="8"/>
      <name val="Calibri"/>
      <family val="2"/>
      <scheme val="minor"/>
    </font>
    <font>
      <i/>
      <sz val="12"/>
      <color theme="1"/>
      <name val="Arial"/>
      <family val="2"/>
    </font>
    <font>
      <b/>
      <i/>
      <sz val="12"/>
      <color theme="1"/>
      <name val="Arial"/>
      <family val="2"/>
    </font>
    <font>
      <sz val="10"/>
      <name val="Arial"/>
      <family val="2"/>
    </font>
    <font>
      <sz val="12"/>
      <name val="Arial (Body)"/>
    </font>
    <font>
      <b/>
      <sz val="20"/>
      <name val="Arial"/>
      <family val="2"/>
    </font>
    <font>
      <b/>
      <sz val="12"/>
      <color rgb="FFFFFFFF"/>
      <name val="Arial (Body)"/>
    </font>
    <font>
      <sz val="12"/>
      <color rgb="FF0432FF"/>
      <name val="Arial"/>
      <family val="2"/>
    </font>
  </fonts>
  <fills count="9">
    <fill>
      <patternFill patternType="none"/>
    </fill>
    <fill>
      <patternFill patternType="gray125"/>
    </fill>
    <fill>
      <patternFill patternType="solid">
        <fgColor rgb="FFFFFFFF"/>
        <bgColor rgb="FF000000"/>
      </patternFill>
    </fill>
    <fill>
      <patternFill patternType="solid">
        <fgColor rgb="FFF0F0F0"/>
        <bgColor rgb="FF000000"/>
      </patternFill>
    </fill>
    <fill>
      <patternFill patternType="solid">
        <fgColor theme="0"/>
        <bgColor rgb="FF000000"/>
      </patternFill>
    </fill>
    <fill>
      <patternFill patternType="solid">
        <fgColor theme="6" tint="0.79998168889431442"/>
        <bgColor rgb="FF000000"/>
      </patternFill>
    </fill>
    <fill>
      <patternFill patternType="solid">
        <fgColor theme="0"/>
      </patternFill>
    </fill>
    <fill>
      <patternFill patternType="solid">
        <fgColor rgb="FFFFFFFF"/>
        <bgColor rgb="FFFFFFFF"/>
      </patternFill>
    </fill>
    <fill>
      <patternFill patternType="solid">
        <fgColor theme="1"/>
        <bgColor rgb="FF000000"/>
      </patternFill>
    </fill>
  </fills>
  <borders count="20">
    <border>
      <left/>
      <right/>
      <top/>
      <bottom/>
      <diagonal/>
    </border>
    <border>
      <left style="thin">
        <color indexed="64"/>
      </left>
      <right/>
      <top/>
      <bottom/>
      <diagonal/>
    </border>
    <border>
      <left/>
      <right/>
      <top style="thin">
        <color indexed="64"/>
      </top>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hair">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auto="1"/>
      </right>
      <top/>
      <bottom style="thin">
        <color auto="1"/>
      </bottom>
      <diagonal/>
    </border>
    <border>
      <left/>
      <right style="thin">
        <color indexed="64"/>
      </right>
      <top style="thin">
        <color indexed="64"/>
      </top>
      <bottom style="thin">
        <color indexed="64"/>
      </bottom>
      <diagonal/>
    </border>
    <border>
      <left style="thin">
        <color auto="1"/>
      </left>
      <right style="medium">
        <color auto="1"/>
      </right>
      <top style="thin">
        <color auto="1"/>
      </top>
      <bottom style="thin">
        <color auto="1"/>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6">
    <xf numFmtId="0" fontId="0"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9" fillId="6" borderId="0"/>
    <xf numFmtId="0" fontId="13" fillId="6" borderId="0" applyNumberFormat="0" applyBorder="0" applyAlignment="0" applyProtection="0"/>
  </cellStyleXfs>
  <cellXfs count="98">
    <xf numFmtId="0" fontId="0" fillId="0" borderId="0" xfId="0"/>
    <xf numFmtId="0" fontId="2" fillId="2" borderId="0" xfId="0" applyFont="1" applyFill="1"/>
    <xf numFmtId="0" fontId="2" fillId="2" borderId="0" xfId="0" applyFont="1" applyFill="1" applyAlignment="1">
      <alignment vertical="center"/>
    </xf>
    <xf numFmtId="0" fontId="2" fillId="0" borderId="0" xfId="0" applyFont="1" applyAlignment="1">
      <alignment vertical="center"/>
    </xf>
    <xf numFmtId="0" fontId="2" fillId="0" borderId="0" xfId="0" applyFont="1"/>
    <xf numFmtId="164" fontId="2" fillId="2" borderId="2" xfId="2" applyFont="1" applyFill="1" applyBorder="1"/>
    <xf numFmtId="164" fontId="2" fillId="2" borderId="0" xfId="2" applyFont="1" applyFill="1" applyBorder="1"/>
    <xf numFmtId="0" fontId="4" fillId="3" borderId="0" xfId="0" applyFont="1" applyFill="1"/>
    <xf numFmtId="0" fontId="5" fillId="2" borderId="0" xfId="0" applyFont="1" applyFill="1"/>
    <xf numFmtId="164" fontId="2" fillId="2" borderId="0" xfId="2" applyFont="1" applyFill="1"/>
    <xf numFmtId="164" fontId="2" fillId="2" borderId="1" xfId="2" applyFont="1" applyFill="1" applyBorder="1"/>
    <xf numFmtId="0" fontId="5" fillId="2" borderId="3" xfId="0" applyFont="1" applyFill="1" applyBorder="1"/>
    <xf numFmtId="0" fontId="2" fillId="2" borderId="3" xfId="0" applyFont="1" applyFill="1" applyBorder="1"/>
    <xf numFmtId="0" fontId="2" fillId="2" borderId="4" xfId="0" applyFont="1" applyFill="1" applyBorder="1"/>
    <xf numFmtId="164" fontId="5" fillId="2" borderId="3" xfId="0" applyNumberFormat="1" applyFont="1" applyFill="1" applyBorder="1"/>
    <xf numFmtId="0" fontId="2" fillId="2" borderId="0" xfId="0" applyFont="1" applyFill="1" applyAlignment="1">
      <alignment horizontal="center"/>
    </xf>
    <xf numFmtId="0" fontId="2" fillId="2" borderId="0" xfId="2" applyNumberFormat="1" applyFont="1" applyFill="1" applyBorder="1"/>
    <xf numFmtId="0" fontId="2" fillId="2" borderId="1" xfId="0" applyFont="1" applyFill="1" applyBorder="1" applyAlignment="1">
      <alignment horizontal="center"/>
    </xf>
    <xf numFmtId="164" fontId="2" fillId="4" borderId="1" xfId="2" applyFont="1" applyFill="1" applyBorder="1"/>
    <xf numFmtId="0" fontId="5" fillId="2" borderId="0" xfId="0" applyFont="1" applyFill="1" applyAlignment="1">
      <alignment horizontal="center" vertical="center" wrapText="1"/>
    </xf>
    <xf numFmtId="0" fontId="2" fillId="5" borderId="1" xfId="0" applyFont="1" applyFill="1" applyBorder="1" applyAlignment="1">
      <alignment horizontal="center" vertical="center" wrapText="1"/>
    </xf>
    <xf numFmtId="0" fontId="2" fillId="5" borderId="0" xfId="0" applyFont="1" applyFill="1" applyAlignment="1">
      <alignment horizontal="center" vertical="center" wrapText="1"/>
    </xf>
    <xf numFmtId="0" fontId="2" fillId="2" borderId="1" xfId="0" applyFont="1" applyFill="1" applyBorder="1" applyAlignment="1">
      <alignment horizontal="center" vertical="center" wrapText="1"/>
    </xf>
    <xf numFmtId="0" fontId="2" fillId="2" borderId="0" xfId="0" applyFont="1" applyFill="1" applyAlignment="1">
      <alignment horizontal="center" vertical="center" wrapText="1"/>
    </xf>
    <xf numFmtId="0" fontId="5" fillId="5" borderId="0" xfId="0" applyFont="1" applyFill="1" applyAlignment="1">
      <alignment horizontal="center" vertical="center"/>
    </xf>
    <xf numFmtId="0" fontId="5" fillId="2" borderId="0" xfId="0" applyFont="1" applyFill="1" applyAlignment="1">
      <alignment horizontal="left" vertical="center" wrapText="1"/>
    </xf>
    <xf numFmtId="0" fontId="5" fillId="2" borderId="5" xfId="0" applyFont="1" applyFill="1" applyBorder="1" applyAlignment="1">
      <alignment horizontal="left" vertical="center" wrapText="1"/>
    </xf>
    <xf numFmtId="0" fontId="5" fillId="2" borderId="6" xfId="0" applyFont="1" applyFill="1" applyBorder="1" applyAlignment="1">
      <alignment horizontal="center" vertical="center" wrapText="1"/>
    </xf>
    <xf numFmtId="0" fontId="5" fillId="2" borderId="5" xfId="0" applyFont="1" applyFill="1" applyBorder="1" applyAlignment="1">
      <alignment horizontal="center" vertical="center" wrapText="1"/>
    </xf>
    <xf numFmtId="164" fontId="2" fillId="2" borderId="6" xfId="0" applyNumberFormat="1" applyFont="1" applyFill="1" applyBorder="1" applyAlignment="1">
      <alignment horizontal="center" vertical="center" wrapText="1"/>
    </xf>
    <xf numFmtId="164" fontId="2" fillId="2" borderId="5" xfId="0" applyNumberFormat="1" applyFont="1" applyFill="1" applyBorder="1" applyAlignment="1">
      <alignment horizontal="center" vertical="center" wrapText="1"/>
    </xf>
    <xf numFmtId="164" fontId="2" fillId="2" borderId="4" xfId="2" applyFont="1" applyFill="1" applyBorder="1"/>
    <xf numFmtId="164" fontId="2" fillId="2" borderId="3" xfId="2" applyFont="1" applyFill="1" applyBorder="1"/>
    <xf numFmtId="164" fontId="2" fillId="2" borderId="8" xfId="2" applyFont="1" applyFill="1" applyBorder="1"/>
    <xf numFmtId="164" fontId="2" fillId="2" borderId="9" xfId="2" applyFont="1" applyFill="1" applyBorder="1"/>
    <xf numFmtId="164" fontId="2" fillId="2" borderId="10" xfId="2" applyFont="1" applyFill="1" applyBorder="1"/>
    <xf numFmtId="164" fontId="2" fillId="2" borderId="6" xfId="2" applyFont="1" applyFill="1" applyBorder="1"/>
    <xf numFmtId="164" fontId="2" fillId="2" borderId="5" xfId="2" applyFont="1" applyFill="1" applyBorder="1"/>
    <xf numFmtId="164" fontId="2" fillId="2" borderId="7" xfId="2" applyFont="1" applyFill="1" applyBorder="1"/>
    <xf numFmtId="164" fontId="5" fillId="2" borderId="4" xfId="0" applyNumberFormat="1" applyFont="1" applyFill="1" applyBorder="1" applyAlignment="1">
      <alignment horizontal="center"/>
    </xf>
    <xf numFmtId="164" fontId="5" fillId="2" borderId="3" xfId="0" applyNumberFormat="1" applyFont="1" applyFill="1" applyBorder="1" applyAlignment="1">
      <alignment horizontal="center"/>
    </xf>
    <xf numFmtId="164" fontId="2" fillId="2" borderId="0" xfId="2" applyFont="1" applyFill="1" applyBorder="1" applyAlignment="1">
      <alignment horizontal="center"/>
    </xf>
    <xf numFmtId="0" fontId="4" fillId="3" borderId="2" xfId="0" applyFont="1" applyFill="1" applyBorder="1"/>
    <xf numFmtId="164" fontId="2" fillId="4" borderId="8" xfId="2" applyFont="1" applyFill="1" applyBorder="1"/>
    <xf numFmtId="164" fontId="2" fillId="4" borderId="2" xfId="2" applyFont="1" applyFill="1" applyBorder="1"/>
    <xf numFmtId="164" fontId="2" fillId="4" borderId="9" xfId="2" applyFont="1" applyFill="1" applyBorder="1"/>
    <xf numFmtId="164" fontId="2" fillId="4" borderId="0" xfId="2" applyFont="1" applyFill="1" applyBorder="1"/>
    <xf numFmtId="164" fontId="2" fillId="4" borderId="10" xfId="2" applyFont="1" applyFill="1" applyBorder="1"/>
    <xf numFmtId="164" fontId="2" fillId="4" borderId="6" xfId="2" applyFont="1" applyFill="1" applyBorder="1"/>
    <xf numFmtId="164" fontId="2" fillId="4" borderId="5" xfId="2" applyFont="1" applyFill="1" applyBorder="1"/>
    <xf numFmtId="164" fontId="2" fillId="4" borderId="7" xfId="2" applyFont="1" applyFill="1" applyBorder="1"/>
    <xf numFmtId="164" fontId="5" fillId="2" borderId="0" xfId="0" applyNumberFormat="1" applyFont="1" applyFill="1" applyAlignment="1">
      <alignment horizontal="center"/>
    </xf>
    <xf numFmtId="164" fontId="2" fillId="2" borderId="3" xfId="0" applyNumberFormat="1" applyFont="1" applyFill="1" applyBorder="1" applyAlignment="1">
      <alignment horizontal="center"/>
    </xf>
    <xf numFmtId="164" fontId="2" fillId="4" borderId="6" xfId="2" applyFont="1" applyFill="1" applyBorder="1" applyAlignment="1">
      <alignment horizontal="center" vertical="center" wrapText="1"/>
    </xf>
    <xf numFmtId="164" fontId="2" fillId="4" borderId="5" xfId="2" applyFont="1" applyFill="1" applyBorder="1" applyAlignment="1">
      <alignment horizontal="center" vertical="center" wrapText="1"/>
    </xf>
    <xf numFmtId="0" fontId="7" fillId="2" borderId="0" xfId="0" applyFont="1" applyFill="1"/>
    <xf numFmtId="0" fontId="8" fillId="2" borderId="0" xfId="0" applyFont="1" applyFill="1" applyAlignment="1">
      <alignment horizontal="left" vertical="center" wrapText="1"/>
    </xf>
    <xf numFmtId="0" fontId="7" fillId="2" borderId="1"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0" xfId="0" applyFont="1" applyFill="1" applyAlignment="1">
      <alignment vertical="center"/>
    </xf>
    <xf numFmtId="0" fontId="7" fillId="0" borderId="0" xfId="0" applyFont="1" applyAlignment="1">
      <alignment vertical="center"/>
    </xf>
    <xf numFmtId="1" fontId="5" fillId="2" borderId="3" xfId="1" applyNumberFormat="1" applyFont="1" applyFill="1" applyBorder="1" applyAlignment="1">
      <alignment horizontal="center"/>
    </xf>
    <xf numFmtId="1" fontId="2" fillId="2" borderId="1" xfId="1" applyNumberFormat="1" applyFont="1" applyFill="1" applyBorder="1" applyAlignment="1">
      <alignment horizontal="center"/>
    </xf>
    <xf numFmtId="1" fontId="2" fillId="2" borderId="4" xfId="0" applyNumberFormat="1" applyFont="1" applyFill="1" applyBorder="1" applyAlignment="1">
      <alignment horizontal="center"/>
    </xf>
    <xf numFmtId="0" fontId="5" fillId="5" borderId="1" xfId="0" applyFont="1" applyFill="1" applyBorder="1" applyAlignment="1">
      <alignment horizontal="center" vertical="center"/>
    </xf>
    <xf numFmtId="0" fontId="5" fillId="2" borderId="0" xfId="0" applyFont="1" applyFill="1" applyAlignment="1">
      <alignment horizontal="center" vertical="center"/>
    </xf>
    <xf numFmtId="0" fontId="5" fillId="2" borderId="0" xfId="0" applyFont="1" applyFill="1" applyAlignment="1">
      <alignment horizontal="center"/>
    </xf>
    <xf numFmtId="9" fontId="2" fillId="2" borderId="0" xfId="3" applyFont="1" applyFill="1"/>
    <xf numFmtId="167" fontId="2" fillId="2" borderId="0" xfId="2" applyNumberFormat="1" applyFont="1" applyFill="1" applyAlignment="1">
      <alignment horizontal="right"/>
    </xf>
    <xf numFmtId="166" fontId="2" fillId="2" borderId="0" xfId="1" applyNumberFormat="1" applyFont="1" applyFill="1" applyAlignment="1">
      <alignment horizontal="right"/>
    </xf>
    <xf numFmtId="0" fontId="2" fillId="2" borderId="11" xfId="0" applyFont="1" applyFill="1" applyBorder="1"/>
    <xf numFmtId="0" fontId="10" fillId="7" borderId="0" xfId="4" applyFont="1" applyFill="1" applyAlignment="1">
      <alignment vertical="center"/>
    </xf>
    <xf numFmtId="0" fontId="11" fillId="7" borderId="0" xfId="4" applyFont="1" applyFill="1" applyAlignment="1">
      <alignment horizontal="left" vertical="center"/>
    </xf>
    <xf numFmtId="0" fontId="10" fillId="7" borderId="11" xfId="4" applyFont="1" applyFill="1" applyBorder="1" applyAlignment="1">
      <alignment vertical="center"/>
    </xf>
    <xf numFmtId="0" fontId="10" fillId="7" borderId="0" xfId="4" applyFont="1" applyFill="1" applyAlignment="1">
      <alignment horizontal="left" vertical="center"/>
    </xf>
    <xf numFmtId="0" fontId="10" fillId="7" borderId="12" xfId="4" applyFont="1" applyFill="1" applyBorder="1" applyAlignment="1">
      <alignment vertical="center"/>
    </xf>
    <xf numFmtId="0" fontId="10" fillId="3" borderId="7" xfId="4" applyFont="1" applyFill="1" applyBorder="1" applyAlignment="1">
      <alignment horizontal="left" vertical="center" wrapText="1"/>
    </xf>
    <xf numFmtId="0" fontId="10" fillId="7" borderId="15" xfId="4" applyFont="1" applyFill="1" applyBorder="1" applyAlignment="1">
      <alignment horizontal="left" vertical="center" wrapText="1"/>
    </xf>
    <xf numFmtId="0" fontId="10" fillId="3" borderId="16" xfId="4" applyFont="1" applyFill="1" applyBorder="1" applyAlignment="1">
      <alignment horizontal="left" vertical="center" wrapText="1"/>
    </xf>
    <xf numFmtId="49" fontId="10" fillId="7" borderId="17" xfId="4" applyNumberFormat="1" applyFont="1" applyFill="1" applyBorder="1" applyAlignment="1">
      <alignment horizontal="left" vertical="center" wrapText="1"/>
    </xf>
    <xf numFmtId="0" fontId="10" fillId="3" borderId="18" xfId="4" applyFont="1" applyFill="1" applyBorder="1" applyAlignment="1">
      <alignment horizontal="left" vertical="center" wrapText="1"/>
    </xf>
    <xf numFmtId="14" fontId="10" fillId="7" borderId="19" xfId="4" applyNumberFormat="1" applyFont="1" applyFill="1" applyBorder="1" applyAlignment="1">
      <alignment horizontal="left" vertical="center" wrapText="1"/>
    </xf>
    <xf numFmtId="0" fontId="10" fillId="2" borderId="16" xfId="4" applyFont="1" applyFill="1" applyBorder="1" applyAlignment="1">
      <alignment horizontal="left" vertical="center" wrapText="1"/>
    </xf>
    <xf numFmtId="0" fontId="13" fillId="6" borderId="18" xfId="5" applyBorder="1" applyAlignment="1">
      <alignment horizontal="left" vertical="center" wrapText="1"/>
    </xf>
    <xf numFmtId="0" fontId="3" fillId="8" borderId="0" xfId="4" applyFont="1" applyFill="1" applyAlignment="1">
      <alignment vertical="center" wrapText="1"/>
    </xf>
    <xf numFmtId="0" fontId="3" fillId="8" borderId="0" xfId="0" applyFont="1" applyFill="1" applyAlignment="1">
      <alignment vertical="center"/>
    </xf>
    <xf numFmtId="0" fontId="2" fillId="8" borderId="0" xfId="0" applyFont="1" applyFill="1" applyAlignment="1">
      <alignment horizontal="center" vertical="center"/>
    </xf>
    <xf numFmtId="0" fontId="3" fillId="8" borderId="0" xfId="0" applyFont="1" applyFill="1" applyAlignment="1">
      <alignment horizontal="center" vertical="center"/>
    </xf>
    <xf numFmtId="0" fontId="13" fillId="6" borderId="0" xfId="5" applyAlignment="1">
      <alignment horizontal="left"/>
    </xf>
    <xf numFmtId="164" fontId="13" fillId="6" borderId="0" xfId="5" applyNumberFormat="1" applyAlignment="1">
      <alignment horizontal="center"/>
    </xf>
    <xf numFmtId="164" fontId="13" fillId="6" borderId="2" xfId="5" applyNumberFormat="1" applyBorder="1" applyAlignment="1">
      <alignment horizontal="center"/>
    </xf>
    <xf numFmtId="0" fontId="2" fillId="8" borderId="0" xfId="0" applyFont="1" applyFill="1" applyAlignment="1">
      <alignment vertical="center"/>
    </xf>
    <xf numFmtId="0" fontId="12" fillId="8" borderId="13" xfId="4" applyFont="1" applyFill="1" applyBorder="1" applyAlignment="1">
      <alignment horizontal="left" vertical="center"/>
    </xf>
    <xf numFmtId="0" fontId="12" fillId="8" borderId="14" xfId="4" applyFont="1" applyFill="1" applyBorder="1" applyAlignment="1">
      <alignment horizontal="left" vertical="center"/>
    </xf>
    <xf numFmtId="0" fontId="10" fillId="7" borderId="0" xfId="4" applyFont="1" applyFill="1" applyAlignment="1">
      <alignment horizontal="left" vertical="top" wrapText="1"/>
    </xf>
    <xf numFmtId="0" fontId="5" fillId="5" borderId="1" xfId="0" applyFont="1" applyFill="1" applyBorder="1" applyAlignment="1">
      <alignment horizontal="center" vertical="center" wrapText="1"/>
    </xf>
    <xf numFmtId="0" fontId="5" fillId="5" borderId="0" xfId="0" applyFont="1" applyFill="1" applyAlignment="1">
      <alignment horizontal="center" vertical="center" wrapText="1"/>
    </xf>
    <xf numFmtId="0" fontId="5" fillId="5" borderId="0" xfId="0" applyFont="1" applyFill="1" applyAlignment="1">
      <alignment horizontal="center" vertical="center"/>
    </xf>
  </cellXfs>
  <cellStyles count="6">
    <cellStyle name="Comma" xfId="1" builtinId="3"/>
    <cellStyle name="Currency" xfId="2" builtinId="4"/>
    <cellStyle name="Input" xfId="5" builtinId="20" customBuiltin="1"/>
    <cellStyle name="Normal" xfId="0" builtinId="0"/>
    <cellStyle name="Normal 2" xfId="4" xr:uid="{ED6B7831-5A21-B742-B877-C53453B9C97D}"/>
    <cellStyle name="Percent" xfId="3" builtinId="5"/>
  </cellStyles>
  <dxfs count="0"/>
  <tableStyles count="0" defaultTableStyle="TableStyleMedium2" defaultPivotStyle="PivotStyleLight16"/>
  <colors>
    <mruColors>
      <color rgb="FF0432FF"/>
      <color rgb="FF15478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320" b="0"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1068157674935329"/>
          <c:y val="0.11427999898070994"/>
          <c:w val="0.86666136866774246"/>
          <c:h val="0.80344902275565067"/>
        </c:manualLayout>
      </c:layout>
      <c:barChart>
        <c:barDir val="col"/>
        <c:grouping val="clustered"/>
        <c:varyColors val="0"/>
        <c:ser>
          <c:idx val="0"/>
          <c:order val="0"/>
          <c:tx>
            <c:strRef>
              <c:f>'1. Dashboard'!$H$6</c:f>
              <c:strCache>
                <c:ptCount val="1"/>
                <c:pt idx="0">
                  <c:v>Revenue / Customer</c:v>
                </c:pt>
              </c:strCache>
            </c:strRef>
          </c:tx>
          <c:spPr>
            <a:solidFill>
              <a:srgbClr val="15478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Dashboard'!$I$5:$J$5</c:f>
              <c:strCache>
                <c:ptCount val="2"/>
                <c:pt idx="0">
                  <c:v>Individual Pricing</c:v>
                </c:pt>
                <c:pt idx="1">
                  <c:v>Bundled Pricing</c:v>
                </c:pt>
              </c:strCache>
            </c:strRef>
          </c:cat>
          <c:val>
            <c:numRef>
              <c:f>'1. Dashboard'!$I$6:$J$6</c:f>
              <c:numCache>
                <c:formatCode>"$"#,##0.00</c:formatCode>
                <c:ptCount val="2"/>
                <c:pt idx="0">
                  <c:v>5.0250000000000004</c:v>
                </c:pt>
                <c:pt idx="1">
                  <c:v>6.1916666666666664</c:v>
                </c:pt>
              </c:numCache>
            </c:numRef>
          </c:val>
          <c:extLst>
            <c:ext xmlns:c16="http://schemas.microsoft.com/office/drawing/2014/chart" uri="{C3380CC4-5D6E-409C-BE32-E72D297353CC}">
              <c16:uniqueId val="{00000000-830F-FC41-9873-B3F6F32FFF24}"/>
            </c:ext>
          </c:extLst>
        </c:ser>
        <c:dLbls>
          <c:showLegendKey val="0"/>
          <c:showVal val="0"/>
          <c:showCatName val="0"/>
          <c:showSerName val="0"/>
          <c:showPercent val="0"/>
          <c:showBubbleSize val="0"/>
        </c:dLbls>
        <c:gapWidth val="219"/>
        <c:overlap val="-27"/>
        <c:axId val="1853448608"/>
        <c:axId val="1853289312"/>
      </c:barChart>
      <c:catAx>
        <c:axId val="1853448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853289312"/>
        <c:crosses val="autoZero"/>
        <c:auto val="1"/>
        <c:lblAlgn val="ctr"/>
        <c:lblOffset val="100"/>
        <c:noMultiLvlLbl val="0"/>
      </c:catAx>
      <c:valAx>
        <c:axId val="185328931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853448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1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1117600</xdr:colOff>
      <xdr:row>10</xdr:row>
      <xdr:rowOff>203200</xdr:rowOff>
    </xdr:from>
    <xdr:to>
      <xdr:col>5</xdr:col>
      <xdr:colOff>6804416</xdr:colOff>
      <xdr:row>16</xdr:row>
      <xdr:rowOff>203200</xdr:rowOff>
    </xdr:to>
    <xdr:pic>
      <xdr:nvPicPr>
        <xdr:cNvPr id="10" name="Picture 9">
          <a:extLst>
            <a:ext uri="{FF2B5EF4-FFF2-40B4-BE49-F238E27FC236}">
              <a16:creationId xmlns:a16="http://schemas.microsoft.com/office/drawing/2014/main" id="{EBC74D4C-3614-CEFC-D142-207DC801F22B}"/>
            </a:ext>
          </a:extLst>
        </xdr:cNvPr>
        <xdr:cNvPicPr>
          <a:picLocks noChangeAspect="1"/>
        </xdr:cNvPicPr>
      </xdr:nvPicPr>
      <xdr:blipFill>
        <a:blip xmlns:r="http://schemas.openxmlformats.org/officeDocument/2006/relationships" r:embed="rId1"/>
        <a:stretch>
          <a:fillRect/>
        </a:stretch>
      </xdr:blipFill>
      <xdr:spPr>
        <a:xfrm>
          <a:off x="7708900" y="3251200"/>
          <a:ext cx="5686816" cy="1828800"/>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5</xdr:col>
      <xdr:colOff>1142999</xdr:colOff>
      <xdr:row>22</xdr:row>
      <xdr:rowOff>152401</xdr:rowOff>
    </xdr:from>
    <xdr:to>
      <xdr:col>5</xdr:col>
      <xdr:colOff>6781800</xdr:colOff>
      <xdr:row>39</xdr:row>
      <xdr:rowOff>26277</xdr:rowOff>
    </xdr:to>
    <xdr:pic>
      <xdr:nvPicPr>
        <xdr:cNvPr id="11" name="Picture 10">
          <a:extLst>
            <a:ext uri="{FF2B5EF4-FFF2-40B4-BE49-F238E27FC236}">
              <a16:creationId xmlns:a16="http://schemas.microsoft.com/office/drawing/2014/main" id="{F02D853C-08B4-9646-216C-BCFF176917A5}"/>
            </a:ext>
          </a:extLst>
        </xdr:cNvPr>
        <xdr:cNvPicPr>
          <a:picLocks noChangeAspect="1"/>
        </xdr:cNvPicPr>
      </xdr:nvPicPr>
      <xdr:blipFill>
        <a:blip xmlns:r="http://schemas.openxmlformats.org/officeDocument/2006/relationships" r:embed="rId2"/>
        <a:stretch>
          <a:fillRect/>
        </a:stretch>
      </xdr:blipFill>
      <xdr:spPr>
        <a:xfrm>
          <a:off x="7734299" y="6858001"/>
          <a:ext cx="5638801" cy="5055476"/>
        </a:xfrm>
        <a:prstGeom prst="rect">
          <a:avLst/>
        </a:prstGeom>
        <a:ln>
          <a:noFill/>
        </a:ln>
        <a:effectLst>
          <a:outerShdw blurRad="292100" dist="139700" dir="2700000" algn="tl" rotWithShape="0">
            <a:srgbClr val="333333">
              <a:alpha val="65000"/>
            </a:srgb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6350</xdr:colOff>
      <xdr:row>11</xdr:row>
      <xdr:rowOff>177800</xdr:rowOff>
    </xdr:from>
    <xdr:to>
      <xdr:col>10</xdr:col>
      <xdr:colOff>1447800</xdr:colOff>
      <xdr:row>31</xdr:row>
      <xdr:rowOff>38100</xdr:rowOff>
    </xdr:to>
    <xdr:graphicFrame macro="">
      <xdr:nvGraphicFramePr>
        <xdr:cNvPr id="3" name="Chart 2">
          <a:extLst>
            <a:ext uri="{FF2B5EF4-FFF2-40B4-BE49-F238E27FC236}">
              <a16:creationId xmlns:a16="http://schemas.microsoft.com/office/drawing/2014/main" id="{995BF15A-70C9-6374-87E6-634ADAE99E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D3FA4-4239-F440-8701-8496641BDEC1}">
  <dimension ref="A2:F22"/>
  <sheetViews>
    <sheetView tabSelected="1" workbookViewId="0"/>
  </sheetViews>
  <sheetFormatPr defaultColWidth="9.19921875" defaultRowHeight="24" customHeight="1"/>
  <cols>
    <col min="1" max="1" width="2.796875" style="71" customWidth="1"/>
    <col min="2" max="2" width="29.5" style="71" customWidth="1"/>
    <col min="3" max="3" width="29.5" style="74" customWidth="1"/>
    <col min="4" max="4" width="12.296875" style="71" customWidth="1"/>
    <col min="5" max="5" width="12.296875" style="73" customWidth="1"/>
    <col min="6" max="6" width="110" style="71" customWidth="1"/>
    <col min="7" max="16384" width="9.19921875" style="71"/>
  </cols>
  <sheetData>
    <row r="2" spans="1:6" ht="24" customHeight="1">
      <c r="B2" s="72" t="s">
        <v>73</v>
      </c>
      <c r="F2" s="72" t="s">
        <v>59</v>
      </c>
    </row>
    <row r="3" spans="1:6" ht="24" customHeight="1" thickBot="1"/>
    <row r="4" spans="1:6" ht="24" customHeight="1" thickBot="1">
      <c r="A4" s="75"/>
      <c r="B4" s="92" t="s">
        <v>60</v>
      </c>
      <c r="C4" s="93"/>
      <c r="F4" s="84" t="s">
        <v>72</v>
      </c>
    </row>
    <row r="5" spans="1:6" ht="24" customHeight="1">
      <c r="A5" s="75"/>
      <c r="B5" s="76" t="s">
        <v>61</v>
      </c>
      <c r="C5" s="77" t="s">
        <v>62</v>
      </c>
      <c r="F5" s="94" t="s">
        <v>74</v>
      </c>
    </row>
    <row r="6" spans="1:6" ht="24" customHeight="1">
      <c r="A6" s="75"/>
      <c r="B6" s="78" t="s">
        <v>63</v>
      </c>
      <c r="C6" s="79" t="s">
        <v>64</v>
      </c>
      <c r="F6" s="94"/>
    </row>
    <row r="7" spans="1:6" ht="24" customHeight="1" thickBot="1">
      <c r="A7" s="75"/>
      <c r="B7" s="80" t="s">
        <v>65</v>
      </c>
      <c r="C7" s="81">
        <f ca="1">TODAY()</f>
        <v>45423</v>
      </c>
      <c r="F7" s="94"/>
    </row>
    <row r="8" spans="1:6" ht="24" customHeight="1" thickBot="1">
      <c r="F8" s="84" t="s">
        <v>78</v>
      </c>
    </row>
    <row r="9" spans="1:6" ht="24" customHeight="1" thickBot="1">
      <c r="A9" s="75"/>
      <c r="B9" s="92" t="s">
        <v>66</v>
      </c>
      <c r="C9" s="93"/>
      <c r="F9" s="94" t="s">
        <v>75</v>
      </c>
    </row>
    <row r="10" spans="1:6" ht="24" customHeight="1">
      <c r="A10" s="75"/>
      <c r="B10" s="76" t="s">
        <v>67</v>
      </c>
      <c r="C10" s="77" t="s">
        <v>68</v>
      </c>
      <c r="F10" s="94"/>
    </row>
    <row r="11" spans="1:6" ht="24" customHeight="1">
      <c r="A11" s="75"/>
      <c r="B11" s="82" t="s">
        <v>69</v>
      </c>
      <c r="C11" s="79" t="s">
        <v>70</v>
      </c>
      <c r="F11" s="94"/>
    </row>
    <row r="12" spans="1:6" ht="24" customHeight="1" thickBot="1">
      <c r="A12" s="75"/>
      <c r="B12" s="83" t="s">
        <v>79</v>
      </c>
      <c r="C12" s="81" t="s">
        <v>71</v>
      </c>
    </row>
    <row r="19" spans="6:6" ht="24" customHeight="1">
      <c r="F19" s="84" t="s">
        <v>76</v>
      </c>
    </row>
    <row r="20" spans="6:6" ht="24" customHeight="1">
      <c r="F20" s="94" t="s">
        <v>77</v>
      </c>
    </row>
    <row r="21" spans="6:6" ht="24" customHeight="1">
      <c r="F21" s="94"/>
    </row>
    <row r="22" spans="6:6" ht="24" customHeight="1">
      <c r="F22" s="94"/>
    </row>
  </sheetData>
  <mergeCells count="5">
    <mergeCell ref="B4:C4"/>
    <mergeCell ref="F5:F7"/>
    <mergeCell ref="B9:C9"/>
    <mergeCell ref="F9:F11"/>
    <mergeCell ref="F20:F2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2BDE3-2934-4240-B64A-55FF4B0B29EA}">
  <dimension ref="A2:AN51"/>
  <sheetViews>
    <sheetView showGridLines="0" zoomScaleNormal="100" workbookViewId="0">
      <selection activeCell="H65" sqref="H65"/>
    </sheetView>
  </sheetViews>
  <sheetFormatPr defaultColWidth="10.796875" defaultRowHeight="16.05" customHeight="1"/>
  <cols>
    <col min="1" max="1" width="3.19921875" style="1" customWidth="1"/>
    <col min="2" max="2" width="28.5" style="1" customWidth="1"/>
    <col min="3" max="5" width="14.5" style="15" customWidth="1"/>
    <col min="6" max="6" width="5.5" style="1" customWidth="1"/>
    <col min="7" max="7" width="8.69921875" style="70" customWidth="1"/>
    <col min="8" max="8" width="30.796875" style="1" customWidth="1"/>
    <col min="9" max="10" width="19.796875" style="15" customWidth="1"/>
    <col min="11" max="11" width="19.796875" style="1" customWidth="1"/>
    <col min="12" max="16384" width="10.796875" style="4"/>
  </cols>
  <sheetData>
    <row r="2" spans="1:40" ht="16.05" customHeight="1">
      <c r="B2" s="8" t="s">
        <v>56</v>
      </c>
      <c r="H2" s="8" t="s">
        <v>58</v>
      </c>
    </row>
    <row r="4" spans="1:40" s="3" customFormat="1" ht="16.05" customHeight="1">
      <c r="A4" s="1"/>
      <c r="B4" s="85" t="s">
        <v>43</v>
      </c>
      <c r="C4" s="86"/>
      <c r="D4" s="66"/>
      <c r="E4" s="66"/>
      <c r="F4" s="1"/>
      <c r="G4" s="70"/>
      <c r="H4" s="85" t="s">
        <v>57</v>
      </c>
      <c r="I4" s="85"/>
      <c r="J4" s="85"/>
      <c r="K4" s="85"/>
    </row>
    <row r="5" spans="1:40" s="3" customFormat="1" ht="16.05" customHeight="1">
      <c r="A5" s="1"/>
      <c r="B5" s="7" t="s">
        <v>44</v>
      </c>
      <c r="C5" s="88" t="s">
        <v>36</v>
      </c>
      <c r="D5" s="15"/>
      <c r="E5" s="66"/>
      <c r="F5" s="1"/>
      <c r="G5" s="70"/>
      <c r="H5" s="7"/>
      <c r="I5" s="65" t="s">
        <v>49</v>
      </c>
      <c r="J5" s="66" t="s">
        <v>50</v>
      </c>
      <c r="K5" s="66" t="s">
        <v>52</v>
      </c>
    </row>
    <row r="6" spans="1:40" s="3" customFormat="1" ht="16.95" customHeight="1">
      <c r="A6" s="1"/>
      <c r="B6" s="7" t="s">
        <v>45</v>
      </c>
      <c r="C6" s="88" t="s">
        <v>37</v>
      </c>
      <c r="D6" s="15"/>
      <c r="E6" s="15"/>
      <c r="F6" s="1"/>
      <c r="G6" s="70"/>
      <c r="H6" s="7" t="s">
        <v>55</v>
      </c>
      <c r="I6" s="68">
        <f>'2. Individual Revenue'!I36/COUNTA($C$11:$C$40)</f>
        <v>5.0250000000000004</v>
      </c>
      <c r="J6" s="68">
        <f>'3. Bundle Revenue'!O37/COUNTA($C$11:$C$40)</f>
        <v>6.1916666666666664</v>
      </c>
      <c r="K6" s="67">
        <f>J6/I6-1</f>
        <v>0.23217247097844096</v>
      </c>
    </row>
    <row r="7" spans="1:40" ht="16.05" customHeight="1">
      <c r="B7" s="7" t="s">
        <v>46</v>
      </c>
      <c r="C7" s="88" t="s">
        <v>38</v>
      </c>
      <c r="H7" s="7" t="s">
        <v>53</v>
      </c>
      <c r="I7" s="69">
        <f>'2. Individual Revenue'!J36</f>
        <v>44</v>
      </c>
      <c r="J7" s="69">
        <f>'3. Bundle Revenue'!N37</f>
        <v>68</v>
      </c>
      <c r="K7" s="67">
        <f t="shared" ref="K7:K8" si="0">J7/I7-1</f>
        <v>0.54545454545454541</v>
      </c>
    </row>
    <row r="8" spans="1:40" ht="16.05" customHeight="1">
      <c r="H8" s="7" t="s">
        <v>51</v>
      </c>
      <c r="I8" s="68">
        <f>'2. Individual Revenue'!I36/I7</f>
        <v>3.4261363636363638</v>
      </c>
      <c r="J8" s="68">
        <f>'3. Bundle Revenue'!O37/J7</f>
        <v>2.7316176470588234</v>
      </c>
      <c r="K8" s="67">
        <f t="shared" si="0"/>
        <v>-0.20271193054336167</v>
      </c>
    </row>
    <row r="10" spans="1:40" ht="16.05" customHeight="1">
      <c r="B10" s="85" t="s">
        <v>34</v>
      </c>
      <c r="C10" s="87" t="str">
        <f>C5</f>
        <v>A</v>
      </c>
      <c r="D10" s="87" t="str">
        <f>C6</f>
        <v>B</v>
      </c>
      <c r="E10" s="87" t="str">
        <f>C7</f>
        <v>C</v>
      </c>
    </row>
    <row r="11" spans="1:40" ht="16.05" customHeight="1">
      <c r="B11" s="7" t="s">
        <v>2</v>
      </c>
      <c r="C11" s="89">
        <v>5</v>
      </c>
      <c r="D11" s="89">
        <v>2.5</v>
      </c>
      <c r="E11" s="89">
        <v>1.5</v>
      </c>
    </row>
    <row r="12" spans="1:40" s="1" customFormat="1" ht="16.05" customHeight="1">
      <c r="B12" s="7" t="s">
        <v>3</v>
      </c>
      <c r="C12" s="89">
        <v>3</v>
      </c>
      <c r="D12" s="89">
        <v>3.5</v>
      </c>
      <c r="E12" s="89">
        <v>1.5</v>
      </c>
      <c r="G12" s="70"/>
      <c r="I12" s="15"/>
      <c r="J12" s="15"/>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row>
    <row r="13" spans="1:40" s="1" customFormat="1" ht="16.05" customHeight="1">
      <c r="B13" s="7" t="s">
        <v>4</v>
      </c>
      <c r="C13" s="89">
        <v>2.5</v>
      </c>
      <c r="D13" s="89">
        <v>4.5</v>
      </c>
      <c r="E13" s="89">
        <v>1</v>
      </c>
      <c r="G13" s="70"/>
      <c r="I13" s="15"/>
      <c r="J13" s="15"/>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row>
    <row r="14" spans="1:40" s="1" customFormat="1" ht="16.05" customHeight="1">
      <c r="B14" s="7" t="s">
        <v>5</v>
      </c>
      <c r="C14" s="89">
        <v>4.5</v>
      </c>
      <c r="D14" s="89">
        <v>3</v>
      </c>
      <c r="E14" s="89">
        <v>2.5</v>
      </c>
      <c r="G14" s="70"/>
      <c r="I14" s="15"/>
      <c r="J14" s="15"/>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row>
    <row r="15" spans="1:40" s="1" customFormat="1" ht="16.05" customHeight="1">
      <c r="B15" s="7" t="s">
        <v>6</v>
      </c>
      <c r="C15" s="89">
        <v>7.5</v>
      </c>
      <c r="D15" s="89">
        <v>4</v>
      </c>
      <c r="E15" s="89">
        <v>1</v>
      </c>
      <c r="G15" s="70"/>
      <c r="I15" s="15"/>
      <c r="J15" s="15"/>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row>
    <row r="16" spans="1:40" s="1" customFormat="1" ht="16.05" customHeight="1">
      <c r="B16" s="7" t="s">
        <v>7</v>
      </c>
      <c r="C16" s="89">
        <v>6</v>
      </c>
      <c r="D16" s="89">
        <v>1.5</v>
      </c>
      <c r="E16" s="89">
        <v>2</v>
      </c>
      <c r="G16" s="70"/>
      <c r="I16" s="15"/>
      <c r="J16" s="15"/>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row>
    <row r="17" spans="2:40" s="1" customFormat="1" ht="16.05" customHeight="1">
      <c r="B17" s="7" t="s">
        <v>8</v>
      </c>
      <c r="C17" s="89">
        <v>4.5</v>
      </c>
      <c r="D17" s="89">
        <v>4.5</v>
      </c>
      <c r="E17" s="89">
        <v>1</v>
      </c>
      <c r="G17" s="70"/>
      <c r="I17" s="15"/>
      <c r="J17" s="15"/>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row>
    <row r="18" spans="2:40" s="1" customFormat="1" ht="16.05" customHeight="1">
      <c r="B18" s="7" t="s">
        <v>9</v>
      </c>
      <c r="C18" s="89">
        <v>4.5</v>
      </c>
      <c r="D18" s="89">
        <v>4.5</v>
      </c>
      <c r="E18" s="89">
        <v>2</v>
      </c>
      <c r="G18" s="70"/>
      <c r="I18" s="15"/>
      <c r="J18" s="15"/>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row>
    <row r="19" spans="2:40" s="1" customFormat="1" ht="16.05" customHeight="1">
      <c r="B19" s="7" t="s">
        <v>10</v>
      </c>
      <c r="C19" s="89">
        <v>7.5</v>
      </c>
      <c r="D19" s="89">
        <v>3.5</v>
      </c>
      <c r="E19" s="89">
        <v>2</v>
      </c>
      <c r="G19" s="70"/>
      <c r="I19" s="15"/>
      <c r="J19" s="15"/>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row>
    <row r="20" spans="2:40" s="1" customFormat="1" ht="16.05" customHeight="1">
      <c r="B20" s="7" t="s">
        <v>11</v>
      </c>
      <c r="C20" s="89">
        <v>7</v>
      </c>
      <c r="D20" s="89">
        <v>2</v>
      </c>
      <c r="E20" s="89">
        <v>1.5</v>
      </c>
      <c r="G20" s="70"/>
      <c r="I20" s="15"/>
      <c r="J20" s="15"/>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row>
    <row r="21" spans="2:40" s="1" customFormat="1" ht="16.05" customHeight="1">
      <c r="B21" s="7" t="s">
        <v>12</v>
      </c>
      <c r="C21" s="89">
        <v>4</v>
      </c>
      <c r="D21" s="89">
        <v>1</v>
      </c>
      <c r="E21" s="89">
        <v>1</v>
      </c>
      <c r="G21" s="70"/>
      <c r="I21" s="15"/>
      <c r="J21" s="15"/>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row>
    <row r="22" spans="2:40" s="1" customFormat="1" ht="16.05" customHeight="1">
      <c r="B22" s="7" t="s">
        <v>13</v>
      </c>
      <c r="C22" s="89">
        <v>4</v>
      </c>
      <c r="D22" s="89">
        <v>4.5</v>
      </c>
      <c r="E22" s="89">
        <v>2</v>
      </c>
      <c r="G22" s="70"/>
      <c r="I22" s="15"/>
      <c r="J22" s="15"/>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row>
    <row r="23" spans="2:40" s="1" customFormat="1" ht="16.05" customHeight="1">
      <c r="B23" s="7" t="s">
        <v>14</v>
      </c>
      <c r="C23" s="89">
        <v>6</v>
      </c>
      <c r="D23" s="89">
        <v>4</v>
      </c>
      <c r="E23" s="89">
        <v>2</v>
      </c>
      <c r="G23" s="70"/>
      <c r="I23" s="15"/>
      <c r="J23" s="15"/>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row>
    <row r="24" spans="2:40" s="1" customFormat="1" ht="16.05" customHeight="1">
      <c r="B24" s="7" t="s">
        <v>15</v>
      </c>
      <c r="C24" s="89">
        <v>4</v>
      </c>
      <c r="D24" s="89">
        <v>4.5</v>
      </c>
      <c r="E24" s="89">
        <v>1</v>
      </c>
      <c r="G24" s="70"/>
      <c r="I24" s="15"/>
      <c r="J24" s="15"/>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row>
    <row r="25" spans="2:40" s="1" customFormat="1" ht="16.05" customHeight="1">
      <c r="B25" s="7" t="s">
        <v>16</v>
      </c>
      <c r="C25" s="89">
        <v>7.5</v>
      </c>
      <c r="D25" s="89">
        <v>3.5</v>
      </c>
      <c r="E25" s="89">
        <v>2.5</v>
      </c>
      <c r="G25" s="70"/>
      <c r="I25" s="15"/>
      <c r="J25" s="15"/>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row>
    <row r="26" spans="2:40" s="1" customFormat="1" ht="16.05" customHeight="1">
      <c r="B26" s="7" t="s">
        <v>17</v>
      </c>
      <c r="C26" s="89">
        <v>2.5</v>
      </c>
      <c r="D26" s="89">
        <v>2</v>
      </c>
      <c r="E26" s="89">
        <v>1</v>
      </c>
      <c r="G26" s="70"/>
      <c r="I26" s="15"/>
      <c r="J26" s="15"/>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row>
    <row r="27" spans="2:40" s="1" customFormat="1" ht="16.05" customHeight="1">
      <c r="B27" s="7" t="s">
        <v>18</v>
      </c>
      <c r="C27" s="89">
        <v>7.5</v>
      </c>
      <c r="D27" s="89">
        <v>1</v>
      </c>
      <c r="E27" s="89">
        <v>2.5</v>
      </c>
      <c r="G27" s="70"/>
      <c r="I27" s="15"/>
      <c r="J27" s="15"/>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row>
    <row r="28" spans="2:40" s="1" customFormat="1" ht="16.05" customHeight="1">
      <c r="B28" s="7" t="s">
        <v>19</v>
      </c>
      <c r="C28" s="89">
        <v>5</v>
      </c>
      <c r="D28" s="89">
        <v>3</v>
      </c>
      <c r="E28" s="89">
        <v>1.5</v>
      </c>
      <c r="G28" s="70"/>
      <c r="I28" s="15"/>
      <c r="J28" s="15"/>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row>
    <row r="29" spans="2:40" s="1" customFormat="1" ht="16.05" customHeight="1">
      <c r="B29" s="7" t="s">
        <v>20</v>
      </c>
      <c r="C29" s="89">
        <v>2.5</v>
      </c>
      <c r="D29" s="89">
        <v>2</v>
      </c>
      <c r="E29" s="89">
        <v>2</v>
      </c>
      <c r="G29" s="70"/>
      <c r="I29" s="15"/>
      <c r="J29" s="15"/>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row>
    <row r="30" spans="2:40" s="1" customFormat="1" ht="16.05" customHeight="1">
      <c r="B30" s="7" t="s">
        <v>21</v>
      </c>
      <c r="C30" s="89">
        <v>7</v>
      </c>
      <c r="D30" s="89">
        <v>1.5</v>
      </c>
      <c r="E30" s="89">
        <v>1</v>
      </c>
      <c r="G30" s="70"/>
      <c r="I30" s="15"/>
      <c r="J30" s="15"/>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row>
    <row r="31" spans="2:40" s="1" customFormat="1" ht="16.05" customHeight="1">
      <c r="B31" s="7" t="s">
        <v>22</v>
      </c>
      <c r="C31" s="89">
        <v>6.5</v>
      </c>
      <c r="D31" s="89">
        <v>2</v>
      </c>
      <c r="E31" s="89">
        <v>2</v>
      </c>
      <c r="G31" s="70"/>
      <c r="I31" s="15"/>
      <c r="J31" s="15"/>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row>
    <row r="32" spans="2:40" s="1" customFormat="1" ht="16.05" customHeight="1">
      <c r="B32" s="7" t="s">
        <v>23</v>
      </c>
      <c r="C32" s="89">
        <v>2.5</v>
      </c>
      <c r="D32" s="89">
        <v>2.5</v>
      </c>
      <c r="E32" s="89">
        <v>1.5</v>
      </c>
      <c r="G32" s="70"/>
      <c r="I32" s="15"/>
      <c r="J32" s="15"/>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row>
    <row r="33" spans="2:40" s="1" customFormat="1" ht="16.05" customHeight="1">
      <c r="B33" s="7" t="s">
        <v>24</v>
      </c>
      <c r="C33" s="89">
        <v>7</v>
      </c>
      <c r="D33" s="89">
        <v>1</v>
      </c>
      <c r="E33" s="89">
        <v>1.5</v>
      </c>
      <c r="G33" s="70"/>
      <c r="I33" s="15"/>
      <c r="J33" s="15"/>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row>
    <row r="34" spans="2:40" s="1" customFormat="1" ht="16.05" customHeight="1">
      <c r="B34" s="7" t="s">
        <v>25</v>
      </c>
      <c r="C34" s="89">
        <v>7.5</v>
      </c>
      <c r="D34" s="89">
        <v>4</v>
      </c>
      <c r="E34" s="89">
        <v>1</v>
      </c>
      <c r="G34" s="70"/>
      <c r="I34" s="15"/>
      <c r="J34" s="15"/>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row>
    <row r="35" spans="2:40" s="1" customFormat="1" ht="16.05" customHeight="1">
      <c r="B35" s="7" t="s">
        <v>26</v>
      </c>
      <c r="C35" s="89">
        <v>6</v>
      </c>
      <c r="D35" s="89">
        <v>1.5</v>
      </c>
      <c r="E35" s="89">
        <v>2</v>
      </c>
      <c r="G35" s="70"/>
      <c r="I35" s="15"/>
      <c r="J35" s="15"/>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row>
    <row r="36" spans="2:40" s="1" customFormat="1" ht="16.05" customHeight="1">
      <c r="B36" s="7" t="s">
        <v>27</v>
      </c>
      <c r="C36" s="89">
        <v>4.5</v>
      </c>
      <c r="D36" s="89">
        <v>4.5</v>
      </c>
      <c r="E36" s="89">
        <v>1</v>
      </c>
      <c r="G36" s="70"/>
      <c r="I36" s="15"/>
      <c r="J36" s="15"/>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row>
    <row r="37" spans="2:40" s="1" customFormat="1" ht="16.05" customHeight="1">
      <c r="B37" s="7" t="s">
        <v>28</v>
      </c>
      <c r="C37" s="89">
        <v>4.5</v>
      </c>
      <c r="D37" s="89">
        <v>4.5</v>
      </c>
      <c r="E37" s="89">
        <v>2</v>
      </c>
      <c r="G37" s="70"/>
      <c r="I37" s="15"/>
      <c r="J37" s="15"/>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row>
    <row r="38" spans="2:40" ht="16.05" customHeight="1">
      <c r="B38" s="7" t="s">
        <v>29</v>
      </c>
      <c r="C38" s="89">
        <v>7.5</v>
      </c>
      <c r="D38" s="89">
        <v>3.5</v>
      </c>
      <c r="E38" s="89">
        <v>2</v>
      </c>
    </row>
    <row r="39" spans="2:40" ht="16.05" customHeight="1">
      <c r="B39" s="7" t="s">
        <v>30</v>
      </c>
      <c r="C39" s="89">
        <v>7</v>
      </c>
      <c r="D39" s="89">
        <v>2</v>
      </c>
      <c r="E39" s="89">
        <v>1.5</v>
      </c>
    </row>
    <row r="40" spans="2:40" ht="16.05" customHeight="1">
      <c r="B40" s="7" t="s">
        <v>31</v>
      </c>
      <c r="C40" s="89">
        <v>5</v>
      </c>
      <c r="D40" s="89">
        <v>3</v>
      </c>
      <c r="E40" s="89">
        <v>1.5</v>
      </c>
    </row>
    <row r="41" spans="2:40" ht="16.05" customHeight="1" thickBot="1">
      <c r="B41" s="11" t="s">
        <v>54</v>
      </c>
      <c r="C41" s="40">
        <f>AVERAGE(C11:C40)</f>
        <v>5.333333333333333</v>
      </c>
      <c r="D41" s="40">
        <f>AVERAGE(D11:D40)</f>
        <v>2.9666666666666668</v>
      </c>
      <c r="E41" s="40">
        <f>AVERAGE(E11:E40)</f>
        <v>1.6166666666666667</v>
      </c>
    </row>
    <row r="44" spans="2:40" ht="16.05" customHeight="1">
      <c r="B44" s="85" t="s">
        <v>43</v>
      </c>
      <c r="C44" s="87" t="s">
        <v>1</v>
      </c>
    </row>
    <row r="45" spans="2:40" ht="16.05" customHeight="1">
      <c r="B45" s="7" t="str">
        <f>C5</f>
        <v>A</v>
      </c>
      <c r="C45" s="89">
        <v>5.5</v>
      </c>
    </row>
    <row r="46" spans="2:40" ht="16.05" customHeight="1">
      <c r="B46" s="7" t="str">
        <f>C6</f>
        <v>B</v>
      </c>
      <c r="C46" s="89">
        <v>3</v>
      </c>
    </row>
    <row r="47" spans="2:40" ht="16.05" customHeight="1">
      <c r="B47" s="7" t="str">
        <f>C7</f>
        <v>C</v>
      </c>
      <c r="C47" s="89">
        <v>1.75</v>
      </c>
    </row>
    <row r="48" spans="2:40" ht="16.05" customHeight="1">
      <c r="B48" s="42" t="str">
        <f>_xlfn.CONCAT(C5, " &amp; ", C6)</f>
        <v>A &amp; B</v>
      </c>
      <c r="C48" s="90">
        <v>8</v>
      </c>
    </row>
    <row r="49" spans="2:40" s="1" customFormat="1" ht="16.05" customHeight="1">
      <c r="B49" s="7" t="str">
        <f>_xlfn.CONCAT(C5, " &amp; ", C7)</f>
        <v>A &amp; C</v>
      </c>
      <c r="C49" s="89">
        <v>7</v>
      </c>
      <c r="D49" s="15"/>
      <c r="E49" s="15"/>
      <c r="G49" s="70"/>
      <c r="I49" s="15"/>
      <c r="J49" s="15"/>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row>
    <row r="50" spans="2:40" ht="16.05" customHeight="1">
      <c r="B50" s="7" t="str">
        <f>_xlfn.CONCAT(C6, " &amp; ", C7)</f>
        <v>B &amp; C</v>
      </c>
      <c r="C50" s="89">
        <v>4</v>
      </c>
    </row>
    <row r="51" spans="2:40" ht="16.05" customHeight="1">
      <c r="B51" s="42" t="str">
        <f>_xlfn.CONCAT(C5,", ",C6," &amp; ",C7)</f>
        <v>A, B &amp; C</v>
      </c>
      <c r="C51" s="90">
        <v>8</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296D9-EB18-3049-A349-CEE6CE271575}">
  <dimension ref="A1"/>
  <sheetViews>
    <sheetView workbookViewId="0"/>
  </sheetViews>
  <sheetFormatPr defaultColWidth="11.19921875" defaultRowHeight="15.6"/>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48414-8CD7-CC41-AE3D-40C683F1EAB4}">
  <dimension ref="A2:AE55"/>
  <sheetViews>
    <sheetView showGridLines="0" workbookViewId="0">
      <selection activeCell="K28" sqref="K28"/>
    </sheetView>
  </sheetViews>
  <sheetFormatPr defaultColWidth="10.796875" defaultRowHeight="16.05" customHeight="1"/>
  <cols>
    <col min="1" max="1" width="3.19921875" style="1" customWidth="1"/>
    <col min="2" max="2" width="21.19921875" style="1" customWidth="1"/>
    <col min="3" max="8" width="14.796875" style="1" customWidth="1"/>
    <col min="9" max="10" width="17.5" style="15" customWidth="1"/>
    <col min="11" max="16384" width="10.796875" style="4"/>
  </cols>
  <sheetData>
    <row r="2" spans="1:10" s="3" customFormat="1" ht="16.05" customHeight="1">
      <c r="A2" s="1"/>
      <c r="B2" s="85"/>
      <c r="C2" s="91"/>
      <c r="D2" s="91"/>
      <c r="E2" s="91"/>
      <c r="F2" s="91"/>
      <c r="G2" s="91"/>
      <c r="H2" s="91"/>
      <c r="I2" s="86"/>
      <c r="J2" s="86"/>
    </row>
    <row r="3" spans="1:10" s="3" customFormat="1" ht="24" customHeight="1">
      <c r="A3" s="2"/>
      <c r="B3" s="19"/>
      <c r="C3" s="20"/>
      <c r="D3" s="24" t="s">
        <v>34</v>
      </c>
      <c r="E3" s="21"/>
      <c r="F3" s="95" t="s">
        <v>0</v>
      </c>
      <c r="G3" s="96"/>
      <c r="H3" s="96"/>
      <c r="I3" s="96"/>
      <c r="J3" s="64" t="s">
        <v>48</v>
      </c>
    </row>
    <row r="4" spans="1:10" s="3" customFormat="1" ht="42" customHeight="1">
      <c r="A4" s="1"/>
      <c r="B4" s="25" t="s">
        <v>32</v>
      </c>
      <c r="C4" s="22" t="str">
        <f>'1. Dashboard'!C5</f>
        <v>A</v>
      </c>
      <c r="D4" s="23" t="str">
        <f>'1. Dashboard'!C6</f>
        <v>B</v>
      </c>
      <c r="E4" s="23" t="str">
        <f>'1. Dashboard'!C7</f>
        <v>C</v>
      </c>
      <c r="F4" s="22" t="str">
        <f t="shared" ref="F4:H5" si="0">C4</f>
        <v>A</v>
      </c>
      <c r="G4" s="23" t="str">
        <f t="shared" si="0"/>
        <v>B</v>
      </c>
      <c r="H4" s="23" t="str">
        <f t="shared" si="0"/>
        <v>C</v>
      </c>
      <c r="I4" s="23" t="s">
        <v>35</v>
      </c>
      <c r="J4" s="22" t="s">
        <v>47</v>
      </c>
    </row>
    <row r="5" spans="1:10" s="3" customFormat="1" ht="19.05" customHeight="1">
      <c r="A5" s="1"/>
      <c r="B5" s="26" t="s">
        <v>1</v>
      </c>
      <c r="C5" s="29">
        <f>'1. Dashboard'!C45</f>
        <v>5.5</v>
      </c>
      <c r="D5" s="30">
        <f>'1. Dashboard'!C46</f>
        <v>3</v>
      </c>
      <c r="E5" s="30">
        <f>'1. Dashboard'!C47</f>
        <v>1.75</v>
      </c>
      <c r="F5" s="29">
        <f t="shared" si="0"/>
        <v>5.5</v>
      </c>
      <c r="G5" s="30">
        <f t="shared" si="0"/>
        <v>3</v>
      </c>
      <c r="H5" s="30">
        <f t="shared" si="0"/>
        <v>1.75</v>
      </c>
      <c r="I5" s="28"/>
      <c r="J5" s="27"/>
    </row>
    <row r="6" spans="1:10" ht="16.05" customHeight="1">
      <c r="B6" s="16" t="s">
        <v>2</v>
      </c>
      <c r="C6" s="43">
        <f>'1. Dashboard'!C11</f>
        <v>5</v>
      </c>
      <c r="D6" s="44">
        <f>'1. Dashboard'!D11</f>
        <v>2.5</v>
      </c>
      <c r="E6" s="45">
        <f>'1. Dashboard'!E11</f>
        <v>1.5</v>
      </c>
      <c r="F6" s="33">
        <f>IF(C6&gt;=F$5,F$5,0)</f>
        <v>0</v>
      </c>
      <c r="G6" s="5">
        <f t="shared" ref="G6:G35" si="1">IF(D6&gt;=G$5,G$5,0)</f>
        <v>0</v>
      </c>
      <c r="H6" s="5">
        <f t="shared" ref="H6:H35" si="2">IF(E6&gt;=H$5,H$5,0)</f>
        <v>0</v>
      </c>
      <c r="I6" s="51">
        <f>SUM(F6:H6)</f>
        <v>0</v>
      </c>
      <c r="J6" s="62">
        <f>COUNTIF(F6:H6,"&gt;0")</f>
        <v>0</v>
      </c>
    </row>
    <row r="7" spans="1:10" ht="16.05" customHeight="1">
      <c r="B7" s="16" t="s">
        <v>3</v>
      </c>
      <c r="C7" s="18">
        <f>'1. Dashboard'!C12</f>
        <v>3</v>
      </c>
      <c r="D7" s="46">
        <f>'1. Dashboard'!D12</f>
        <v>3.5</v>
      </c>
      <c r="E7" s="47">
        <f>'1. Dashboard'!E12</f>
        <v>1.5</v>
      </c>
      <c r="F7" s="10">
        <f t="shared" ref="F7:F35" si="3">IF(C7&gt;=F$5,F$5,0)</f>
        <v>0</v>
      </c>
      <c r="G7" s="6">
        <f t="shared" si="1"/>
        <v>3</v>
      </c>
      <c r="H7" s="6">
        <f t="shared" si="2"/>
        <v>0</v>
      </c>
      <c r="I7" s="51">
        <f t="shared" ref="I7:I35" si="4">SUM(F7:H7)</f>
        <v>3</v>
      </c>
      <c r="J7" s="62">
        <f t="shared" ref="J7:J35" si="5">COUNTIF(F7:H7,"&gt;0")</f>
        <v>1</v>
      </c>
    </row>
    <row r="8" spans="1:10" ht="16.05" customHeight="1">
      <c r="B8" s="16" t="s">
        <v>4</v>
      </c>
      <c r="C8" s="18">
        <f>'1. Dashboard'!C13</f>
        <v>2.5</v>
      </c>
      <c r="D8" s="46">
        <f>'1. Dashboard'!D13</f>
        <v>4.5</v>
      </c>
      <c r="E8" s="47">
        <f>'1. Dashboard'!E13</f>
        <v>1</v>
      </c>
      <c r="F8" s="10">
        <f t="shared" si="3"/>
        <v>0</v>
      </c>
      <c r="G8" s="6">
        <f t="shared" si="1"/>
        <v>3</v>
      </c>
      <c r="H8" s="6">
        <f t="shared" si="2"/>
        <v>0</v>
      </c>
      <c r="I8" s="51">
        <f t="shared" si="4"/>
        <v>3</v>
      </c>
      <c r="J8" s="62">
        <f t="shared" si="5"/>
        <v>1</v>
      </c>
    </row>
    <row r="9" spans="1:10" ht="16.05" customHeight="1">
      <c r="B9" s="16" t="s">
        <v>5</v>
      </c>
      <c r="C9" s="18">
        <f>'1. Dashboard'!C14</f>
        <v>4.5</v>
      </c>
      <c r="D9" s="46">
        <f>'1. Dashboard'!D14</f>
        <v>3</v>
      </c>
      <c r="E9" s="47">
        <f>'1. Dashboard'!E14</f>
        <v>2.5</v>
      </c>
      <c r="F9" s="10">
        <f t="shared" si="3"/>
        <v>0</v>
      </c>
      <c r="G9" s="6">
        <f t="shared" si="1"/>
        <v>3</v>
      </c>
      <c r="H9" s="6">
        <f t="shared" si="2"/>
        <v>1.75</v>
      </c>
      <c r="I9" s="51">
        <f t="shared" si="4"/>
        <v>4.75</v>
      </c>
      <c r="J9" s="62">
        <f t="shared" si="5"/>
        <v>2</v>
      </c>
    </row>
    <row r="10" spans="1:10" ht="16.05" customHeight="1">
      <c r="B10" s="16" t="s">
        <v>6</v>
      </c>
      <c r="C10" s="18">
        <f>'1. Dashboard'!C15</f>
        <v>7.5</v>
      </c>
      <c r="D10" s="46">
        <f>'1. Dashboard'!D15</f>
        <v>4</v>
      </c>
      <c r="E10" s="47">
        <f>'1. Dashboard'!E15</f>
        <v>1</v>
      </c>
      <c r="F10" s="10">
        <f t="shared" si="3"/>
        <v>5.5</v>
      </c>
      <c r="G10" s="6">
        <f t="shared" si="1"/>
        <v>3</v>
      </c>
      <c r="H10" s="6">
        <f t="shared" si="2"/>
        <v>0</v>
      </c>
      <c r="I10" s="51">
        <f t="shared" si="4"/>
        <v>8.5</v>
      </c>
      <c r="J10" s="62">
        <f t="shared" si="5"/>
        <v>2</v>
      </c>
    </row>
    <row r="11" spans="1:10" ht="16.05" customHeight="1">
      <c r="B11" s="16" t="s">
        <v>7</v>
      </c>
      <c r="C11" s="18">
        <f>'1. Dashboard'!C16</f>
        <v>6</v>
      </c>
      <c r="D11" s="46">
        <f>'1. Dashboard'!D16</f>
        <v>1.5</v>
      </c>
      <c r="E11" s="47">
        <f>'1. Dashboard'!E16</f>
        <v>2</v>
      </c>
      <c r="F11" s="10">
        <f t="shared" si="3"/>
        <v>5.5</v>
      </c>
      <c r="G11" s="6">
        <f t="shared" si="1"/>
        <v>0</v>
      </c>
      <c r="H11" s="6">
        <f t="shared" si="2"/>
        <v>1.75</v>
      </c>
      <c r="I11" s="51">
        <f t="shared" si="4"/>
        <v>7.25</v>
      </c>
      <c r="J11" s="62">
        <f t="shared" si="5"/>
        <v>2</v>
      </c>
    </row>
    <row r="12" spans="1:10" ht="16.05" customHeight="1">
      <c r="B12" s="16" t="s">
        <v>8</v>
      </c>
      <c r="C12" s="18">
        <f>'1. Dashboard'!C17</f>
        <v>4.5</v>
      </c>
      <c r="D12" s="46">
        <f>'1. Dashboard'!D17</f>
        <v>4.5</v>
      </c>
      <c r="E12" s="47">
        <f>'1. Dashboard'!E17</f>
        <v>1</v>
      </c>
      <c r="F12" s="10">
        <f t="shared" si="3"/>
        <v>0</v>
      </c>
      <c r="G12" s="6">
        <f t="shared" si="1"/>
        <v>3</v>
      </c>
      <c r="H12" s="6">
        <f t="shared" si="2"/>
        <v>0</v>
      </c>
      <c r="I12" s="51">
        <f t="shared" si="4"/>
        <v>3</v>
      </c>
      <c r="J12" s="62">
        <f t="shared" si="5"/>
        <v>1</v>
      </c>
    </row>
    <row r="13" spans="1:10" ht="16.05" customHeight="1">
      <c r="B13" s="16" t="s">
        <v>9</v>
      </c>
      <c r="C13" s="18">
        <f>'1. Dashboard'!C18</f>
        <v>4.5</v>
      </c>
      <c r="D13" s="46">
        <f>'1. Dashboard'!D18</f>
        <v>4.5</v>
      </c>
      <c r="E13" s="47">
        <f>'1. Dashboard'!E18</f>
        <v>2</v>
      </c>
      <c r="F13" s="10">
        <f t="shared" si="3"/>
        <v>0</v>
      </c>
      <c r="G13" s="6">
        <f t="shared" si="1"/>
        <v>3</v>
      </c>
      <c r="H13" s="6">
        <f t="shared" si="2"/>
        <v>1.75</v>
      </c>
      <c r="I13" s="51">
        <f t="shared" si="4"/>
        <v>4.75</v>
      </c>
      <c r="J13" s="62">
        <f t="shared" si="5"/>
        <v>2</v>
      </c>
    </row>
    <row r="14" spans="1:10" ht="16.05" customHeight="1">
      <c r="B14" s="16" t="s">
        <v>10</v>
      </c>
      <c r="C14" s="18">
        <f>'1. Dashboard'!C19</f>
        <v>7.5</v>
      </c>
      <c r="D14" s="46">
        <f>'1. Dashboard'!D19</f>
        <v>3.5</v>
      </c>
      <c r="E14" s="47">
        <f>'1. Dashboard'!E19</f>
        <v>2</v>
      </c>
      <c r="F14" s="10">
        <f t="shared" si="3"/>
        <v>5.5</v>
      </c>
      <c r="G14" s="6">
        <f t="shared" si="1"/>
        <v>3</v>
      </c>
      <c r="H14" s="6">
        <f t="shared" si="2"/>
        <v>1.75</v>
      </c>
      <c r="I14" s="51">
        <f t="shared" si="4"/>
        <v>10.25</v>
      </c>
      <c r="J14" s="62">
        <f t="shared" si="5"/>
        <v>3</v>
      </c>
    </row>
    <row r="15" spans="1:10" ht="16.05" customHeight="1">
      <c r="B15" s="16" t="s">
        <v>11</v>
      </c>
      <c r="C15" s="18">
        <f>'1. Dashboard'!C20</f>
        <v>7</v>
      </c>
      <c r="D15" s="46">
        <f>'1. Dashboard'!D20</f>
        <v>2</v>
      </c>
      <c r="E15" s="47">
        <f>'1. Dashboard'!E20</f>
        <v>1.5</v>
      </c>
      <c r="F15" s="10">
        <f t="shared" si="3"/>
        <v>5.5</v>
      </c>
      <c r="G15" s="6">
        <f t="shared" si="1"/>
        <v>0</v>
      </c>
      <c r="H15" s="6">
        <f t="shared" si="2"/>
        <v>0</v>
      </c>
      <c r="I15" s="51">
        <f t="shared" si="4"/>
        <v>5.5</v>
      </c>
      <c r="J15" s="62">
        <f t="shared" si="5"/>
        <v>1</v>
      </c>
    </row>
    <row r="16" spans="1:10" ht="16.05" customHeight="1">
      <c r="B16" s="16" t="s">
        <v>12</v>
      </c>
      <c r="C16" s="18">
        <f>'1. Dashboard'!C21</f>
        <v>4</v>
      </c>
      <c r="D16" s="46">
        <f>'1. Dashboard'!D21</f>
        <v>1</v>
      </c>
      <c r="E16" s="47">
        <f>'1. Dashboard'!E21</f>
        <v>1</v>
      </c>
      <c r="F16" s="10">
        <f t="shared" si="3"/>
        <v>0</v>
      </c>
      <c r="G16" s="6">
        <f t="shared" si="1"/>
        <v>0</v>
      </c>
      <c r="H16" s="6">
        <f t="shared" si="2"/>
        <v>0</v>
      </c>
      <c r="I16" s="51">
        <f t="shared" si="4"/>
        <v>0</v>
      </c>
      <c r="J16" s="62">
        <f t="shared" si="5"/>
        <v>0</v>
      </c>
    </row>
    <row r="17" spans="2:31" s="1" customFormat="1" ht="16.05" customHeight="1">
      <c r="B17" s="16" t="s">
        <v>13</v>
      </c>
      <c r="C17" s="18">
        <f>'1. Dashboard'!C22</f>
        <v>4</v>
      </c>
      <c r="D17" s="46">
        <f>'1. Dashboard'!D22</f>
        <v>4.5</v>
      </c>
      <c r="E17" s="47">
        <f>'1. Dashboard'!E22</f>
        <v>2</v>
      </c>
      <c r="F17" s="10">
        <f t="shared" si="3"/>
        <v>0</v>
      </c>
      <c r="G17" s="6">
        <f t="shared" si="1"/>
        <v>3</v>
      </c>
      <c r="H17" s="6">
        <f t="shared" si="2"/>
        <v>1.75</v>
      </c>
      <c r="I17" s="51">
        <f t="shared" si="4"/>
        <v>4.75</v>
      </c>
      <c r="J17" s="62">
        <f t="shared" si="5"/>
        <v>2</v>
      </c>
      <c r="K17" s="4"/>
      <c r="L17" s="4"/>
      <c r="M17" s="4"/>
      <c r="N17" s="4"/>
      <c r="O17" s="4"/>
      <c r="P17" s="4"/>
      <c r="Q17" s="4"/>
      <c r="R17" s="4"/>
      <c r="S17" s="4"/>
      <c r="T17" s="4"/>
      <c r="U17" s="4"/>
      <c r="V17" s="4"/>
      <c r="W17" s="4"/>
      <c r="X17" s="4"/>
      <c r="Y17" s="4"/>
      <c r="Z17" s="4"/>
      <c r="AA17" s="4"/>
      <c r="AB17" s="4"/>
      <c r="AC17" s="4"/>
      <c r="AD17" s="4"/>
      <c r="AE17" s="4"/>
    </row>
    <row r="18" spans="2:31" s="1" customFormat="1" ht="16.05" customHeight="1">
      <c r="B18" s="16" t="s">
        <v>14</v>
      </c>
      <c r="C18" s="18">
        <f>'1. Dashboard'!C23</f>
        <v>6</v>
      </c>
      <c r="D18" s="46">
        <f>'1. Dashboard'!D23</f>
        <v>4</v>
      </c>
      <c r="E18" s="47">
        <f>'1. Dashboard'!E23</f>
        <v>2</v>
      </c>
      <c r="F18" s="10">
        <f t="shared" si="3"/>
        <v>5.5</v>
      </c>
      <c r="G18" s="6">
        <f t="shared" si="1"/>
        <v>3</v>
      </c>
      <c r="H18" s="6">
        <f t="shared" si="2"/>
        <v>1.75</v>
      </c>
      <c r="I18" s="51">
        <f t="shared" si="4"/>
        <v>10.25</v>
      </c>
      <c r="J18" s="62">
        <f t="shared" si="5"/>
        <v>3</v>
      </c>
      <c r="K18" s="4"/>
      <c r="L18" s="4"/>
      <c r="M18" s="4"/>
      <c r="N18" s="4"/>
      <c r="O18" s="4"/>
      <c r="P18" s="4"/>
      <c r="Q18" s="4"/>
      <c r="R18" s="4"/>
      <c r="S18" s="4"/>
      <c r="T18" s="4"/>
      <c r="U18" s="4"/>
      <c r="V18" s="4"/>
      <c r="W18" s="4"/>
      <c r="X18" s="4"/>
      <c r="Y18" s="4"/>
      <c r="Z18" s="4"/>
      <c r="AA18" s="4"/>
      <c r="AB18" s="4"/>
      <c r="AC18" s="4"/>
      <c r="AD18" s="4"/>
      <c r="AE18" s="4"/>
    </row>
    <row r="19" spans="2:31" s="1" customFormat="1" ht="16.05" customHeight="1">
      <c r="B19" s="16" t="s">
        <v>15</v>
      </c>
      <c r="C19" s="18">
        <f>'1. Dashboard'!C24</f>
        <v>4</v>
      </c>
      <c r="D19" s="46">
        <f>'1. Dashboard'!D24</f>
        <v>4.5</v>
      </c>
      <c r="E19" s="47">
        <f>'1. Dashboard'!E24</f>
        <v>1</v>
      </c>
      <c r="F19" s="10">
        <f t="shared" si="3"/>
        <v>0</v>
      </c>
      <c r="G19" s="6">
        <f t="shared" si="1"/>
        <v>3</v>
      </c>
      <c r="H19" s="6">
        <f t="shared" si="2"/>
        <v>0</v>
      </c>
      <c r="I19" s="51">
        <f t="shared" si="4"/>
        <v>3</v>
      </c>
      <c r="J19" s="62">
        <f t="shared" si="5"/>
        <v>1</v>
      </c>
      <c r="K19" s="4"/>
      <c r="L19" s="4"/>
      <c r="M19" s="4"/>
      <c r="N19" s="4"/>
      <c r="O19" s="4"/>
      <c r="P19" s="4"/>
      <c r="Q19" s="4"/>
      <c r="R19" s="4"/>
      <c r="S19" s="4"/>
      <c r="T19" s="4"/>
      <c r="U19" s="4"/>
      <c r="V19" s="4"/>
      <c r="W19" s="4"/>
      <c r="X19" s="4"/>
      <c r="Y19" s="4"/>
      <c r="Z19" s="4"/>
      <c r="AA19" s="4"/>
      <c r="AB19" s="4"/>
      <c r="AC19" s="4"/>
      <c r="AD19" s="4"/>
      <c r="AE19" s="4"/>
    </row>
    <row r="20" spans="2:31" s="1" customFormat="1" ht="16.05" customHeight="1">
      <c r="B20" s="16" t="s">
        <v>16</v>
      </c>
      <c r="C20" s="18">
        <f>'1. Dashboard'!C25</f>
        <v>7.5</v>
      </c>
      <c r="D20" s="46">
        <f>'1. Dashboard'!D25</f>
        <v>3.5</v>
      </c>
      <c r="E20" s="47">
        <f>'1. Dashboard'!E25</f>
        <v>2.5</v>
      </c>
      <c r="F20" s="10">
        <f t="shared" si="3"/>
        <v>5.5</v>
      </c>
      <c r="G20" s="6">
        <f t="shared" si="1"/>
        <v>3</v>
      </c>
      <c r="H20" s="6">
        <f t="shared" si="2"/>
        <v>1.75</v>
      </c>
      <c r="I20" s="51">
        <f t="shared" si="4"/>
        <v>10.25</v>
      </c>
      <c r="J20" s="62">
        <f t="shared" si="5"/>
        <v>3</v>
      </c>
      <c r="K20" s="4"/>
      <c r="L20" s="4"/>
      <c r="M20" s="4"/>
      <c r="N20" s="4"/>
      <c r="O20" s="4"/>
      <c r="P20" s="4"/>
      <c r="Q20" s="4"/>
      <c r="R20" s="4"/>
      <c r="S20" s="4"/>
      <c r="T20" s="4"/>
      <c r="U20" s="4"/>
      <c r="V20" s="4"/>
      <c r="W20" s="4"/>
      <c r="X20" s="4"/>
      <c r="Y20" s="4"/>
      <c r="Z20" s="4"/>
      <c r="AA20" s="4"/>
      <c r="AB20" s="4"/>
      <c r="AC20" s="4"/>
      <c r="AD20" s="4"/>
      <c r="AE20" s="4"/>
    </row>
    <row r="21" spans="2:31" s="1" customFormat="1" ht="16.05" customHeight="1">
      <c r="B21" s="16" t="s">
        <v>17</v>
      </c>
      <c r="C21" s="18">
        <f>'1. Dashboard'!C26</f>
        <v>2.5</v>
      </c>
      <c r="D21" s="46">
        <f>'1. Dashboard'!D26</f>
        <v>2</v>
      </c>
      <c r="E21" s="47">
        <f>'1. Dashboard'!E26</f>
        <v>1</v>
      </c>
      <c r="F21" s="10">
        <f t="shared" si="3"/>
        <v>0</v>
      </c>
      <c r="G21" s="6">
        <f t="shared" si="1"/>
        <v>0</v>
      </c>
      <c r="H21" s="6">
        <f t="shared" si="2"/>
        <v>0</v>
      </c>
      <c r="I21" s="51">
        <f t="shared" si="4"/>
        <v>0</v>
      </c>
      <c r="J21" s="62">
        <f t="shared" si="5"/>
        <v>0</v>
      </c>
      <c r="K21" s="4"/>
      <c r="L21" s="4"/>
      <c r="M21" s="4"/>
      <c r="N21" s="4"/>
      <c r="O21" s="4"/>
      <c r="P21" s="4"/>
      <c r="Q21" s="4"/>
      <c r="R21" s="4"/>
      <c r="S21" s="4"/>
      <c r="T21" s="4"/>
      <c r="U21" s="4"/>
      <c r="V21" s="4"/>
      <c r="W21" s="4"/>
      <c r="X21" s="4"/>
      <c r="Y21" s="4"/>
      <c r="Z21" s="4"/>
      <c r="AA21" s="4"/>
      <c r="AB21" s="4"/>
      <c r="AC21" s="4"/>
      <c r="AD21" s="4"/>
      <c r="AE21" s="4"/>
    </row>
    <row r="22" spans="2:31" s="1" customFormat="1" ht="16.05" customHeight="1">
      <c r="B22" s="16" t="s">
        <v>18</v>
      </c>
      <c r="C22" s="18">
        <f>'1. Dashboard'!C27</f>
        <v>7.5</v>
      </c>
      <c r="D22" s="46">
        <f>'1. Dashboard'!D27</f>
        <v>1</v>
      </c>
      <c r="E22" s="47">
        <f>'1. Dashboard'!E27</f>
        <v>2.5</v>
      </c>
      <c r="F22" s="10">
        <f t="shared" si="3"/>
        <v>5.5</v>
      </c>
      <c r="G22" s="6">
        <f t="shared" si="1"/>
        <v>0</v>
      </c>
      <c r="H22" s="6">
        <f t="shared" si="2"/>
        <v>1.75</v>
      </c>
      <c r="I22" s="51">
        <f t="shared" si="4"/>
        <v>7.25</v>
      </c>
      <c r="J22" s="62">
        <f t="shared" si="5"/>
        <v>2</v>
      </c>
      <c r="K22" s="4"/>
      <c r="L22" s="4"/>
      <c r="M22" s="4"/>
      <c r="N22" s="4"/>
      <c r="O22" s="4"/>
      <c r="P22" s="4"/>
      <c r="Q22" s="4"/>
      <c r="R22" s="4"/>
      <c r="S22" s="4"/>
      <c r="T22" s="4"/>
      <c r="U22" s="4"/>
      <c r="V22" s="4"/>
      <c r="W22" s="4"/>
      <c r="X22" s="4"/>
      <c r="Y22" s="4"/>
      <c r="Z22" s="4"/>
      <c r="AA22" s="4"/>
      <c r="AB22" s="4"/>
      <c r="AC22" s="4"/>
      <c r="AD22" s="4"/>
      <c r="AE22" s="4"/>
    </row>
    <row r="23" spans="2:31" s="1" customFormat="1" ht="16.05" customHeight="1">
      <c r="B23" s="16" t="s">
        <v>19</v>
      </c>
      <c r="C23" s="18">
        <f>'1. Dashboard'!C28</f>
        <v>5</v>
      </c>
      <c r="D23" s="46">
        <f>'1. Dashboard'!D28</f>
        <v>3</v>
      </c>
      <c r="E23" s="47">
        <f>'1. Dashboard'!E28</f>
        <v>1.5</v>
      </c>
      <c r="F23" s="10">
        <f t="shared" si="3"/>
        <v>0</v>
      </c>
      <c r="G23" s="6">
        <f t="shared" si="1"/>
        <v>3</v>
      </c>
      <c r="H23" s="6">
        <f t="shared" si="2"/>
        <v>0</v>
      </c>
      <c r="I23" s="51">
        <f t="shared" si="4"/>
        <v>3</v>
      </c>
      <c r="J23" s="62">
        <f t="shared" si="5"/>
        <v>1</v>
      </c>
      <c r="K23" s="4"/>
      <c r="L23" s="4"/>
      <c r="M23" s="4"/>
      <c r="N23" s="4"/>
      <c r="O23" s="4"/>
      <c r="P23" s="4"/>
      <c r="Q23" s="4"/>
      <c r="R23" s="4"/>
      <c r="S23" s="4"/>
      <c r="T23" s="4"/>
      <c r="U23" s="4"/>
      <c r="V23" s="4"/>
      <c r="W23" s="4"/>
      <c r="X23" s="4"/>
      <c r="Y23" s="4"/>
      <c r="Z23" s="4"/>
      <c r="AA23" s="4"/>
      <c r="AB23" s="4"/>
      <c r="AC23" s="4"/>
      <c r="AD23" s="4"/>
      <c r="AE23" s="4"/>
    </row>
    <row r="24" spans="2:31" s="1" customFormat="1" ht="16.05" customHeight="1">
      <c r="B24" s="16" t="s">
        <v>20</v>
      </c>
      <c r="C24" s="18">
        <f>'1. Dashboard'!C29</f>
        <v>2.5</v>
      </c>
      <c r="D24" s="46">
        <f>'1. Dashboard'!D29</f>
        <v>2</v>
      </c>
      <c r="E24" s="47">
        <f>'1. Dashboard'!E29</f>
        <v>2</v>
      </c>
      <c r="F24" s="10">
        <f t="shared" si="3"/>
        <v>0</v>
      </c>
      <c r="G24" s="6">
        <f t="shared" si="1"/>
        <v>0</v>
      </c>
      <c r="H24" s="6">
        <f t="shared" si="2"/>
        <v>1.75</v>
      </c>
      <c r="I24" s="51">
        <f t="shared" si="4"/>
        <v>1.75</v>
      </c>
      <c r="J24" s="62">
        <f t="shared" si="5"/>
        <v>1</v>
      </c>
      <c r="K24" s="4"/>
      <c r="L24" s="4"/>
      <c r="M24" s="4"/>
      <c r="N24" s="4"/>
      <c r="O24" s="4"/>
      <c r="P24" s="4"/>
      <c r="Q24" s="4"/>
      <c r="R24" s="4"/>
      <c r="S24" s="4"/>
      <c r="T24" s="4"/>
      <c r="U24" s="4"/>
      <c r="V24" s="4"/>
      <c r="W24" s="4"/>
      <c r="X24" s="4"/>
      <c r="Y24" s="4"/>
      <c r="Z24" s="4"/>
      <c r="AA24" s="4"/>
      <c r="AB24" s="4"/>
      <c r="AC24" s="4"/>
      <c r="AD24" s="4"/>
      <c r="AE24" s="4"/>
    </row>
    <row r="25" spans="2:31" s="1" customFormat="1" ht="16.05" customHeight="1">
      <c r="B25" s="16" t="s">
        <v>21</v>
      </c>
      <c r="C25" s="18">
        <f>'1. Dashboard'!C30</f>
        <v>7</v>
      </c>
      <c r="D25" s="46">
        <f>'1. Dashboard'!D30</f>
        <v>1.5</v>
      </c>
      <c r="E25" s="47">
        <f>'1. Dashboard'!E30</f>
        <v>1</v>
      </c>
      <c r="F25" s="10">
        <f t="shared" si="3"/>
        <v>5.5</v>
      </c>
      <c r="G25" s="6">
        <f t="shared" si="1"/>
        <v>0</v>
      </c>
      <c r="H25" s="6">
        <f t="shared" si="2"/>
        <v>0</v>
      </c>
      <c r="I25" s="51">
        <f t="shared" si="4"/>
        <v>5.5</v>
      </c>
      <c r="J25" s="62">
        <f t="shared" si="5"/>
        <v>1</v>
      </c>
      <c r="K25" s="4"/>
      <c r="L25" s="4"/>
      <c r="M25" s="4"/>
      <c r="N25" s="4"/>
      <c r="O25" s="4"/>
      <c r="P25" s="4"/>
      <c r="Q25" s="4"/>
      <c r="R25" s="4"/>
      <c r="S25" s="4"/>
      <c r="T25" s="4"/>
      <c r="U25" s="4"/>
      <c r="V25" s="4"/>
      <c r="W25" s="4"/>
      <c r="X25" s="4"/>
      <c r="Y25" s="4"/>
      <c r="Z25" s="4"/>
      <c r="AA25" s="4"/>
      <c r="AB25" s="4"/>
      <c r="AC25" s="4"/>
      <c r="AD25" s="4"/>
      <c r="AE25" s="4"/>
    </row>
    <row r="26" spans="2:31" s="1" customFormat="1" ht="16.05" customHeight="1">
      <c r="B26" s="16" t="s">
        <v>22</v>
      </c>
      <c r="C26" s="18">
        <f>'1. Dashboard'!C31</f>
        <v>6.5</v>
      </c>
      <c r="D26" s="46">
        <f>'1. Dashboard'!D31</f>
        <v>2</v>
      </c>
      <c r="E26" s="47">
        <f>'1. Dashboard'!E31</f>
        <v>2</v>
      </c>
      <c r="F26" s="10">
        <f t="shared" si="3"/>
        <v>5.5</v>
      </c>
      <c r="G26" s="6">
        <f t="shared" si="1"/>
        <v>0</v>
      </c>
      <c r="H26" s="6">
        <f t="shared" si="2"/>
        <v>1.75</v>
      </c>
      <c r="I26" s="51">
        <f t="shared" si="4"/>
        <v>7.25</v>
      </c>
      <c r="J26" s="62">
        <f t="shared" si="5"/>
        <v>2</v>
      </c>
      <c r="K26" s="4"/>
      <c r="L26" s="4"/>
      <c r="M26" s="4"/>
      <c r="N26" s="4"/>
      <c r="O26" s="4"/>
      <c r="P26" s="4"/>
      <c r="Q26" s="4"/>
      <c r="R26" s="4"/>
      <c r="S26" s="4"/>
      <c r="T26" s="4"/>
      <c r="U26" s="4"/>
      <c r="V26" s="4"/>
      <c r="W26" s="4"/>
      <c r="X26" s="4"/>
      <c r="Y26" s="4"/>
      <c r="Z26" s="4"/>
      <c r="AA26" s="4"/>
      <c r="AB26" s="4"/>
      <c r="AC26" s="4"/>
      <c r="AD26" s="4"/>
      <c r="AE26" s="4"/>
    </row>
    <row r="27" spans="2:31" s="1" customFormat="1" ht="16.05" customHeight="1">
      <c r="B27" s="16" t="s">
        <v>23</v>
      </c>
      <c r="C27" s="18">
        <f>'1. Dashboard'!C32</f>
        <v>2.5</v>
      </c>
      <c r="D27" s="46">
        <f>'1. Dashboard'!D32</f>
        <v>2.5</v>
      </c>
      <c r="E27" s="47">
        <f>'1. Dashboard'!E32</f>
        <v>1.5</v>
      </c>
      <c r="F27" s="10">
        <f t="shared" si="3"/>
        <v>0</v>
      </c>
      <c r="G27" s="6">
        <f t="shared" si="1"/>
        <v>0</v>
      </c>
      <c r="H27" s="6">
        <f t="shared" si="2"/>
        <v>0</v>
      </c>
      <c r="I27" s="51">
        <f t="shared" si="4"/>
        <v>0</v>
      </c>
      <c r="J27" s="62">
        <f t="shared" si="5"/>
        <v>0</v>
      </c>
      <c r="K27" s="4"/>
      <c r="L27" s="4"/>
      <c r="M27" s="4"/>
      <c r="N27" s="4"/>
      <c r="O27" s="4"/>
      <c r="P27" s="4"/>
      <c r="Q27" s="4"/>
      <c r="R27" s="4"/>
      <c r="S27" s="4"/>
      <c r="T27" s="4"/>
      <c r="U27" s="4"/>
      <c r="V27" s="4"/>
      <c r="W27" s="4"/>
      <c r="X27" s="4"/>
      <c r="Y27" s="4"/>
      <c r="Z27" s="4"/>
      <c r="AA27" s="4"/>
      <c r="AB27" s="4"/>
      <c r="AC27" s="4"/>
      <c r="AD27" s="4"/>
      <c r="AE27" s="4"/>
    </row>
    <row r="28" spans="2:31" s="1" customFormat="1" ht="16.05" customHeight="1">
      <c r="B28" s="16" t="s">
        <v>24</v>
      </c>
      <c r="C28" s="18">
        <f>'1. Dashboard'!C33</f>
        <v>7</v>
      </c>
      <c r="D28" s="46">
        <f>'1. Dashboard'!D33</f>
        <v>1</v>
      </c>
      <c r="E28" s="47">
        <f>'1. Dashboard'!E33</f>
        <v>1.5</v>
      </c>
      <c r="F28" s="10">
        <f t="shared" si="3"/>
        <v>5.5</v>
      </c>
      <c r="G28" s="6">
        <f t="shared" si="1"/>
        <v>0</v>
      </c>
      <c r="H28" s="6">
        <f t="shared" si="2"/>
        <v>0</v>
      </c>
      <c r="I28" s="51">
        <f t="shared" si="4"/>
        <v>5.5</v>
      </c>
      <c r="J28" s="62">
        <f t="shared" si="5"/>
        <v>1</v>
      </c>
      <c r="K28" s="4"/>
      <c r="L28" s="4"/>
      <c r="M28" s="4"/>
      <c r="N28" s="4"/>
      <c r="O28" s="4"/>
      <c r="P28" s="4"/>
      <c r="Q28" s="4"/>
      <c r="R28" s="4"/>
      <c r="S28" s="4"/>
      <c r="T28" s="4"/>
      <c r="U28" s="4"/>
      <c r="V28" s="4"/>
      <c r="W28" s="4"/>
      <c r="X28" s="4"/>
      <c r="Y28" s="4"/>
      <c r="Z28" s="4"/>
      <c r="AA28" s="4"/>
      <c r="AB28" s="4"/>
      <c r="AC28" s="4"/>
      <c r="AD28" s="4"/>
      <c r="AE28" s="4"/>
    </row>
    <row r="29" spans="2:31" s="1" customFormat="1" ht="16.05" customHeight="1">
      <c r="B29" s="16" t="s">
        <v>25</v>
      </c>
      <c r="C29" s="18">
        <f>'1. Dashboard'!C34</f>
        <v>7.5</v>
      </c>
      <c r="D29" s="46">
        <f>'1. Dashboard'!D34</f>
        <v>4</v>
      </c>
      <c r="E29" s="47">
        <f>'1. Dashboard'!E34</f>
        <v>1</v>
      </c>
      <c r="F29" s="10">
        <f t="shared" si="3"/>
        <v>5.5</v>
      </c>
      <c r="G29" s="6">
        <f t="shared" si="1"/>
        <v>3</v>
      </c>
      <c r="H29" s="6">
        <f t="shared" si="2"/>
        <v>0</v>
      </c>
      <c r="I29" s="51">
        <f t="shared" si="4"/>
        <v>8.5</v>
      </c>
      <c r="J29" s="62">
        <f t="shared" si="5"/>
        <v>2</v>
      </c>
      <c r="K29" s="4"/>
      <c r="L29" s="4"/>
      <c r="M29" s="4"/>
      <c r="N29" s="4"/>
      <c r="O29" s="4"/>
      <c r="P29" s="4"/>
      <c r="Q29" s="4"/>
      <c r="R29" s="4"/>
      <c r="S29" s="4"/>
      <c r="T29" s="4"/>
      <c r="U29" s="4"/>
      <c r="V29" s="4"/>
      <c r="W29" s="4"/>
      <c r="X29" s="4"/>
      <c r="Y29" s="4"/>
      <c r="Z29" s="4"/>
      <c r="AA29" s="4"/>
      <c r="AB29" s="4"/>
      <c r="AC29" s="4"/>
      <c r="AD29" s="4"/>
      <c r="AE29" s="4"/>
    </row>
    <row r="30" spans="2:31" s="1" customFormat="1" ht="16.05" customHeight="1">
      <c r="B30" s="16" t="s">
        <v>26</v>
      </c>
      <c r="C30" s="18">
        <f>'1. Dashboard'!C35</f>
        <v>6</v>
      </c>
      <c r="D30" s="46">
        <f>'1. Dashboard'!D35</f>
        <v>1.5</v>
      </c>
      <c r="E30" s="47">
        <f>'1. Dashboard'!E35</f>
        <v>2</v>
      </c>
      <c r="F30" s="10">
        <f t="shared" si="3"/>
        <v>5.5</v>
      </c>
      <c r="G30" s="6">
        <f t="shared" si="1"/>
        <v>0</v>
      </c>
      <c r="H30" s="6">
        <f t="shared" si="2"/>
        <v>1.75</v>
      </c>
      <c r="I30" s="51">
        <f t="shared" si="4"/>
        <v>7.25</v>
      </c>
      <c r="J30" s="62">
        <f t="shared" si="5"/>
        <v>2</v>
      </c>
      <c r="K30" s="4"/>
      <c r="L30" s="4"/>
      <c r="M30" s="4"/>
      <c r="N30" s="4"/>
      <c r="O30" s="4"/>
      <c r="P30" s="4"/>
      <c r="Q30" s="4"/>
      <c r="R30" s="4"/>
      <c r="S30" s="4"/>
      <c r="T30" s="4"/>
      <c r="U30" s="4"/>
      <c r="V30" s="4"/>
      <c r="W30" s="4"/>
      <c r="X30" s="4"/>
      <c r="Y30" s="4"/>
      <c r="Z30" s="4"/>
      <c r="AA30" s="4"/>
      <c r="AB30" s="4"/>
      <c r="AC30" s="4"/>
      <c r="AD30" s="4"/>
      <c r="AE30" s="4"/>
    </row>
    <row r="31" spans="2:31" s="1" customFormat="1" ht="16.05" customHeight="1">
      <c r="B31" s="16" t="s">
        <v>27</v>
      </c>
      <c r="C31" s="18">
        <f>'1. Dashboard'!C36</f>
        <v>4.5</v>
      </c>
      <c r="D31" s="46">
        <f>'1. Dashboard'!D36</f>
        <v>4.5</v>
      </c>
      <c r="E31" s="47">
        <f>'1. Dashboard'!E36</f>
        <v>1</v>
      </c>
      <c r="F31" s="10">
        <f t="shared" si="3"/>
        <v>0</v>
      </c>
      <c r="G31" s="6">
        <f t="shared" si="1"/>
        <v>3</v>
      </c>
      <c r="H31" s="6">
        <f t="shared" si="2"/>
        <v>0</v>
      </c>
      <c r="I31" s="51">
        <f t="shared" si="4"/>
        <v>3</v>
      </c>
      <c r="J31" s="62">
        <f t="shared" si="5"/>
        <v>1</v>
      </c>
      <c r="K31" s="4"/>
      <c r="L31" s="4"/>
      <c r="M31" s="4"/>
      <c r="N31" s="4"/>
      <c r="O31" s="4"/>
      <c r="P31" s="4"/>
      <c r="Q31" s="4"/>
      <c r="R31" s="4"/>
      <c r="S31" s="4"/>
      <c r="T31" s="4"/>
      <c r="U31" s="4"/>
      <c r="V31" s="4"/>
      <c r="W31" s="4"/>
      <c r="X31" s="4"/>
      <c r="Y31" s="4"/>
      <c r="Z31" s="4"/>
      <c r="AA31" s="4"/>
      <c r="AB31" s="4"/>
      <c r="AC31" s="4"/>
      <c r="AD31" s="4"/>
      <c r="AE31" s="4"/>
    </row>
    <row r="32" spans="2:31" s="1" customFormat="1" ht="16.05" customHeight="1">
      <c r="B32" s="16" t="s">
        <v>28</v>
      </c>
      <c r="C32" s="18">
        <f>'1. Dashboard'!C37</f>
        <v>4.5</v>
      </c>
      <c r="D32" s="46">
        <f>'1. Dashboard'!D37</f>
        <v>4.5</v>
      </c>
      <c r="E32" s="47">
        <f>'1. Dashboard'!E37</f>
        <v>2</v>
      </c>
      <c r="F32" s="10">
        <f t="shared" si="3"/>
        <v>0</v>
      </c>
      <c r="G32" s="6">
        <f t="shared" si="1"/>
        <v>3</v>
      </c>
      <c r="H32" s="6">
        <f t="shared" si="2"/>
        <v>1.75</v>
      </c>
      <c r="I32" s="51">
        <f t="shared" si="4"/>
        <v>4.75</v>
      </c>
      <c r="J32" s="62">
        <f t="shared" si="5"/>
        <v>2</v>
      </c>
      <c r="K32" s="4"/>
      <c r="L32" s="4"/>
      <c r="M32" s="4"/>
      <c r="N32" s="4"/>
      <c r="O32" s="4"/>
      <c r="P32" s="4"/>
      <c r="Q32" s="4"/>
      <c r="R32" s="4"/>
      <c r="S32" s="4"/>
      <c r="T32" s="4"/>
      <c r="U32" s="4"/>
      <c r="V32" s="4"/>
      <c r="W32" s="4"/>
      <c r="X32" s="4"/>
      <c r="Y32" s="4"/>
      <c r="Z32" s="4"/>
      <c r="AA32" s="4"/>
      <c r="AB32" s="4"/>
      <c r="AC32" s="4"/>
      <c r="AD32" s="4"/>
      <c r="AE32" s="4"/>
    </row>
    <row r="33" spans="2:31" s="1" customFormat="1" ht="16.05" customHeight="1">
      <c r="B33" s="16" t="s">
        <v>29</v>
      </c>
      <c r="C33" s="18">
        <f>'1. Dashboard'!C38</f>
        <v>7.5</v>
      </c>
      <c r="D33" s="46">
        <f>'1. Dashboard'!D38</f>
        <v>3.5</v>
      </c>
      <c r="E33" s="47">
        <f>'1. Dashboard'!E38</f>
        <v>2</v>
      </c>
      <c r="F33" s="10">
        <f t="shared" si="3"/>
        <v>5.5</v>
      </c>
      <c r="G33" s="6">
        <f t="shared" si="1"/>
        <v>3</v>
      </c>
      <c r="H33" s="6">
        <f t="shared" si="2"/>
        <v>1.75</v>
      </c>
      <c r="I33" s="51">
        <f t="shared" si="4"/>
        <v>10.25</v>
      </c>
      <c r="J33" s="62">
        <f t="shared" si="5"/>
        <v>3</v>
      </c>
      <c r="K33" s="4"/>
      <c r="L33" s="4"/>
      <c r="M33" s="4"/>
      <c r="N33" s="4"/>
      <c r="O33" s="4"/>
      <c r="P33" s="4"/>
      <c r="Q33" s="4"/>
      <c r="R33" s="4"/>
      <c r="S33" s="4"/>
      <c r="T33" s="4"/>
      <c r="U33" s="4"/>
      <c r="V33" s="4"/>
      <c r="W33" s="4"/>
      <c r="X33" s="4"/>
      <c r="Y33" s="4"/>
      <c r="Z33" s="4"/>
      <c r="AA33" s="4"/>
      <c r="AB33" s="4"/>
      <c r="AC33" s="4"/>
      <c r="AD33" s="4"/>
      <c r="AE33" s="4"/>
    </row>
    <row r="34" spans="2:31" s="1" customFormat="1" ht="16.05" customHeight="1">
      <c r="B34" s="16" t="s">
        <v>30</v>
      </c>
      <c r="C34" s="18">
        <f>'1. Dashboard'!C39</f>
        <v>7</v>
      </c>
      <c r="D34" s="46">
        <f>'1. Dashboard'!D39</f>
        <v>2</v>
      </c>
      <c r="E34" s="47">
        <f>'1. Dashboard'!E39</f>
        <v>1.5</v>
      </c>
      <c r="F34" s="10">
        <f t="shared" si="3"/>
        <v>5.5</v>
      </c>
      <c r="G34" s="6">
        <f t="shared" si="1"/>
        <v>0</v>
      </c>
      <c r="H34" s="6">
        <f t="shared" si="2"/>
        <v>0</v>
      </c>
      <c r="I34" s="51">
        <f t="shared" si="4"/>
        <v>5.5</v>
      </c>
      <c r="J34" s="62">
        <f t="shared" si="5"/>
        <v>1</v>
      </c>
      <c r="K34" s="4"/>
      <c r="L34" s="4"/>
      <c r="M34" s="4"/>
      <c r="N34" s="4"/>
      <c r="O34" s="4"/>
      <c r="P34" s="4"/>
      <c r="Q34" s="4"/>
      <c r="R34" s="4"/>
      <c r="S34" s="4"/>
      <c r="T34" s="4"/>
      <c r="U34" s="4"/>
      <c r="V34" s="4"/>
      <c r="W34" s="4"/>
      <c r="X34" s="4"/>
      <c r="Y34" s="4"/>
      <c r="Z34" s="4"/>
      <c r="AA34" s="4"/>
      <c r="AB34" s="4"/>
      <c r="AC34" s="4"/>
      <c r="AD34" s="4"/>
      <c r="AE34" s="4"/>
    </row>
    <row r="35" spans="2:31" s="1" customFormat="1" ht="16.05" customHeight="1">
      <c r="B35" s="16" t="s">
        <v>31</v>
      </c>
      <c r="C35" s="48">
        <f>'1. Dashboard'!C40</f>
        <v>5</v>
      </c>
      <c r="D35" s="49">
        <f>'1. Dashboard'!D40</f>
        <v>3</v>
      </c>
      <c r="E35" s="50">
        <f>'1. Dashboard'!E40</f>
        <v>1.5</v>
      </c>
      <c r="F35" s="36">
        <f t="shared" si="3"/>
        <v>0</v>
      </c>
      <c r="G35" s="37">
        <f t="shared" si="1"/>
        <v>3</v>
      </c>
      <c r="H35" s="37">
        <f t="shared" si="2"/>
        <v>0</v>
      </c>
      <c r="I35" s="51">
        <f t="shared" si="4"/>
        <v>3</v>
      </c>
      <c r="J35" s="62">
        <f t="shared" si="5"/>
        <v>1</v>
      </c>
      <c r="K35" s="4"/>
      <c r="L35" s="4"/>
      <c r="M35" s="4"/>
      <c r="N35" s="4"/>
      <c r="O35" s="4"/>
      <c r="P35" s="4"/>
      <c r="Q35" s="4"/>
      <c r="R35" s="4"/>
      <c r="S35" s="4"/>
      <c r="T35" s="4"/>
      <c r="U35" s="4"/>
      <c r="V35" s="4"/>
      <c r="W35" s="4"/>
      <c r="X35" s="4"/>
      <c r="Y35" s="4"/>
      <c r="Z35" s="4"/>
      <c r="AA35" s="4"/>
      <c r="AB35" s="4"/>
      <c r="AC35" s="4"/>
      <c r="AD35" s="4"/>
      <c r="AE35" s="4"/>
    </row>
    <row r="36" spans="2:31" s="1" customFormat="1" ht="16.05" customHeight="1" thickBot="1">
      <c r="B36" s="11" t="s">
        <v>0</v>
      </c>
      <c r="C36" s="13"/>
      <c r="D36" s="12"/>
      <c r="E36" s="12"/>
      <c r="F36" s="52">
        <f t="shared" ref="F36:H36" si="6">SUM(F6:F35)</f>
        <v>77</v>
      </c>
      <c r="G36" s="52">
        <f t="shared" si="6"/>
        <v>51</v>
      </c>
      <c r="H36" s="52">
        <f t="shared" si="6"/>
        <v>22.75</v>
      </c>
      <c r="I36" s="40">
        <f>SUM(I6:I35)</f>
        <v>150.75</v>
      </c>
      <c r="J36" s="63">
        <f>SUM(J6:J35)</f>
        <v>44</v>
      </c>
      <c r="K36" s="4"/>
      <c r="L36" s="4"/>
      <c r="M36" s="4"/>
      <c r="N36" s="4"/>
      <c r="O36" s="4"/>
      <c r="P36" s="4"/>
      <c r="Q36" s="4"/>
      <c r="R36" s="4"/>
      <c r="S36" s="4"/>
      <c r="T36" s="4"/>
      <c r="U36" s="4"/>
      <c r="V36" s="4"/>
      <c r="W36" s="4"/>
      <c r="X36" s="4"/>
      <c r="Y36" s="4"/>
      <c r="Z36" s="4"/>
      <c r="AA36" s="4"/>
      <c r="AB36" s="4"/>
      <c r="AC36" s="4"/>
      <c r="AD36" s="4"/>
      <c r="AE36" s="4"/>
    </row>
    <row r="37" spans="2:31" s="1" customFormat="1" ht="16.05" customHeight="1">
      <c r="B37" s="8"/>
      <c r="C37" s="8"/>
      <c r="I37" s="15"/>
      <c r="J37" s="15"/>
      <c r="K37" s="4"/>
      <c r="L37" s="4"/>
      <c r="M37" s="4"/>
      <c r="N37" s="4"/>
      <c r="O37" s="4"/>
      <c r="P37" s="4"/>
      <c r="Q37" s="4"/>
      <c r="R37" s="4"/>
      <c r="S37" s="4"/>
      <c r="T37" s="4"/>
      <c r="U37" s="4"/>
      <c r="V37" s="4"/>
      <c r="W37" s="4"/>
      <c r="X37" s="4"/>
      <c r="Y37" s="4"/>
      <c r="Z37" s="4"/>
      <c r="AA37" s="4"/>
      <c r="AB37" s="4"/>
      <c r="AC37" s="4"/>
      <c r="AD37" s="4"/>
      <c r="AE37" s="4"/>
    </row>
    <row r="38" spans="2:31" s="1" customFormat="1" ht="16.05" customHeight="1">
      <c r="B38" s="8"/>
      <c r="C38" s="8"/>
      <c r="I38" s="15"/>
      <c r="J38" s="15"/>
      <c r="K38" s="4"/>
      <c r="L38" s="4"/>
      <c r="M38" s="4"/>
      <c r="N38" s="4"/>
      <c r="O38" s="4"/>
      <c r="P38" s="4"/>
      <c r="Q38" s="4"/>
      <c r="R38" s="4"/>
      <c r="S38" s="4"/>
      <c r="T38" s="4"/>
      <c r="U38" s="4"/>
      <c r="V38" s="4"/>
      <c r="W38" s="4"/>
      <c r="X38" s="4"/>
      <c r="Y38" s="4"/>
      <c r="Z38" s="4"/>
      <c r="AA38" s="4"/>
      <c r="AB38" s="4"/>
      <c r="AC38" s="4"/>
      <c r="AD38" s="4"/>
      <c r="AE38" s="4"/>
    </row>
    <row r="39" spans="2:31" s="1" customFormat="1" ht="16.05" customHeight="1">
      <c r="B39" s="8"/>
      <c r="C39" s="8"/>
      <c r="I39" s="15"/>
      <c r="J39" s="15"/>
      <c r="K39" s="4"/>
      <c r="L39" s="4"/>
      <c r="M39" s="4"/>
      <c r="N39" s="4"/>
      <c r="O39" s="4"/>
      <c r="P39" s="4"/>
      <c r="Q39" s="4"/>
      <c r="R39" s="4"/>
      <c r="S39" s="4"/>
      <c r="T39" s="4"/>
      <c r="U39" s="4"/>
      <c r="V39" s="4"/>
      <c r="W39" s="4"/>
      <c r="X39" s="4"/>
      <c r="Y39" s="4"/>
      <c r="Z39" s="4"/>
      <c r="AA39" s="4"/>
      <c r="AB39" s="4"/>
      <c r="AC39" s="4"/>
      <c r="AD39" s="4"/>
      <c r="AE39" s="4"/>
    </row>
    <row r="40" spans="2:31" s="1" customFormat="1" ht="16.05" customHeight="1">
      <c r="B40" s="8"/>
      <c r="I40" s="15"/>
      <c r="J40" s="15"/>
      <c r="K40" s="4"/>
      <c r="L40" s="4"/>
      <c r="M40" s="4"/>
      <c r="N40" s="4"/>
      <c r="O40" s="4"/>
      <c r="P40" s="4"/>
      <c r="Q40" s="4"/>
      <c r="R40" s="4"/>
      <c r="S40" s="4"/>
      <c r="T40" s="4"/>
      <c r="U40" s="4"/>
      <c r="V40" s="4"/>
      <c r="W40" s="4"/>
      <c r="X40" s="4"/>
      <c r="Y40" s="4"/>
      <c r="Z40" s="4"/>
      <c r="AA40" s="4"/>
      <c r="AB40" s="4"/>
      <c r="AC40" s="4"/>
      <c r="AD40" s="4"/>
      <c r="AE40" s="4"/>
    </row>
    <row r="41" spans="2:31" s="1" customFormat="1" ht="16.05" customHeight="1">
      <c r="B41" s="8"/>
      <c r="I41" s="15"/>
      <c r="J41" s="15"/>
      <c r="K41" s="4"/>
      <c r="L41" s="4"/>
      <c r="M41" s="4"/>
      <c r="N41" s="4"/>
      <c r="O41" s="4"/>
      <c r="P41" s="4"/>
      <c r="Q41" s="4"/>
      <c r="R41" s="4"/>
      <c r="S41" s="4"/>
      <c r="T41" s="4"/>
      <c r="U41" s="4"/>
      <c r="V41" s="4"/>
      <c r="W41" s="4"/>
      <c r="X41" s="4"/>
      <c r="Y41" s="4"/>
      <c r="Z41" s="4"/>
      <c r="AA41" s="4"/>
      <c r="AB41" s="4"/>
      <c r="AC41" s="4"/>
      <c r="AD41" s="4"/>
      <c r="AE41" s="4"/>
    </row>
    <row r="42" spans="2:31" s="1" customFormat="1" ht="16.05" customHeight="1">
      <c r="B42" s="8"/>
      <c r="I42" s="15"/>
      <c r="J42" s="15"/>
      <c r="K42" s="4"/>
      <c r="L42" s="4"/>
      <c r="M42" s="4"/>
      <c r="N42" s="4"/>
      <c r="O42" s="4"/>
      <c r="P42" s="4"/>
      <c r="Q42" s="4"/>
      <c r="R42" s="4"/>
      <c r="S42" s="4"/>
      <c r="T42" s="4"/>
      <c r="U42" s="4"/>
      <c r="V42" s="4"/>
      <c r="W42" s="4"/>
      <c r="X42" s="4"/>
      <c r="Y42" s="4"/>
      <c r="Z42" s="4"/>
      <c r="AA42" s="4"/>
      <c r="AB42" s="4"/>
      <c r="AC42" s="4"/>
      <c r="AD42" s="4"/>
      <c r="AE42" s="4"/>
    </row>
    <row r="55" spans="9:31" s="1" customFormat="1" ht="16.05" customHeight="1">
      <c r="I55" s="15"/>
      <c r="J55" s="15"/>
      <c r="K55" s="4"/>
      <c r="L55" s="4"/>
      <c r="M55" s="4"/>
      <c r="N55" s="4"/>
      <c r="O55" s="4"/>
      <c r="P55" s="4"/>
      <c r="Q55" s="4"/>
      <c r="R55" s="4"/>
      <c r="S55" s="4"/>
      <c r="T55" s="4"/>
      <c r="U55" s="4"/>
      <c r="V55" s="4"/>
      <c r="W55" s="4"/>
      <c r="X55" s="4"/>
      <c r="Y55" s="4"/>
      <c r="Z55" s="4"/>
      <c r="AA55" s="4"/>
      <c r="AB55" s="4"/>
      <c r="AC55" s="4"/>
      <c r="AD55" s="4"/>
      <c r="AE55" s="4"/>
    </row>
  </sheetData>
  <mergeCells count="1">
    <mergeCell ref="F3:I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23642-654D-1C4E-AFE7-1CBA1519DDDB}">
  <dimension ref="A2:AK56"/>
  <sheetViews>
    <sheetView showGridLines="0" workbookViewId="0">
      <selection activeCell="L41" sqref="L41"/>
    </sheetView>
  </sheetViews>
  <sheetFormatPr defaultColWidth="10.796875" defaultRowHeight="16.05" customHeight="1"/>
  <cols>
    <col min="1" max="1" width="3.19921875" style="1" customWidth="1"/>
    <col min="2" max="2" width="21.19921875" style="1" customWidth="1"/>
    <col min="3" max="12" width="14.796875" style="1" customWidth="1"/>
    <col min="13" max="15" width="17.5" style="15" customWidth="1"/>
    <col min="16" max="16" width="8.5" style="1" customWidth="1"/>
    <col min="17" max="16384" width="10.796875" style="4"/>
  </cols>
  <sheetData>
    <row r="2" spans="1:16" s="3" customFormat="1" ht="16.05" customHeight="1">
      <c r="A2" s="1"/>
      <c r="B2" s="85"/>
      <c r="C2" s="91"/>
      <c r="D2" s="91"/>
      <c r="E2" s="91"/>
      <c r="F2" s="91"/>
      <c r="G2" s="91"/>
      <c r="H2" s="91"/>
      <c r="I2" s="91"/>
      <c r="J2" s="91"/>
      <c r="K2" s="91"/>
      <c r="L2" s="91"/>
      <c r="M2" s="86"/>
      <c r="N2" s="86"/>
      <c r="O2" s="86"/>
      <c r="P2" s="2"/>
    </row>
    <row r="3" spans="1:16" s="3" customFormat="1" ht="24" customHeight="1">
      <c r="A3" s="2"/>
      <c r="B3" s="19"/>
      <c r="C3" s="20"/>
      <c r="D3" s="24" t="s">
        <v>34</v>
      </c>
      <c r="E3" s="21"/>
      <c r="F3" s="20"/>
      <c r="G3" s="24" t="s">
        <v>39</v>
      </c>
      <c r="H3" s="21"/>
      <c r="I3" s="20"/>
      <c r="J3" s="97" t="s">
        <v>40</v>
      </c>
      <c r="K3" s="97"/>
      <c r="L3" s="21"/>
      <c r="M3" s="95" t="s">
        <v>41</v>
      </c>
      <c r="N3" s="96"/>
      <c r="O3" s="96"/>
      <c r="P3" s="2"/>
    </row>
    <row r="4" spans="1:16" s="60" customFormat="1" ht="19.95" customHeight="1">
      <c r="A4" s="55"/>
      <c r="B4" s="56"/>
      <c r="C4" s="57"/>
      <c r="D4" s="58"/>
      <c r="E4" s="58"/>
      <c r="F4" s="57">
        <v>1</v>
      </c>
      <c r="G4" s="58">
        <v>1</v>
      </c>
      <c r="H4" s="58">
        <v>1</v>
      </c>
      <c r="I4" s="57">
        <v>2</v>
      </c>
      <c r="J4" s="58">
        <v>2</v>
      </c>
      <c r="K4" s="58">
        <v>2</v>
      </c>
      <c r="L4" s="58">
        <v>3</v>
      </c>
      <c r="M4" s="57"/>
      <c r="N4" s="58"/>
      <c r="O4" s="58"/>
      <c r="P4" s="59"/>
    </row>
    <row r="5" spans="1:16" s="3" customFormat="1" ht="42" customHeight="1">
      <c r="A5" s="1"/>
      <c r="B5" s="25" t="s">
        <v>32</v>
      </c>
      <c r="C5" s="22" t="str">
        <f>'1. Dashboard'!C5</f>
        <v>A</v>
      </c>
      <c r="D5" s="23" t="str">
        <f>'1. Dashboard'!C6</f>
        <v>B</v>
      </c>
      <c r="E5" s="23" t="str">
        <f>'1. Dashboard'!C7</f>
        <v>C</v>
      </c>
      <c r="F5" s="22" t="str">
        <f>C5</f>
        <v>A</v>
      </c>
      <c r="G5" s="23" t="str">
        <f t="shared" ref="G5" si="0">D5</f>
        <v>B</v>
      </c>
      <c r="H5" s="23" t="str">
        <f>E5</f>
        <v>C</v>
      </c>
      <c r="I5" s="22" t="str">
        <f>_xlfn.CONCAT(C5," &amp; ",D5)</f>
        <v>A &amp; B</v>
      </c>
      <c r="J5" s="23" t="str">
        <f>_xlfn.CONCAT(C5," &amp; ",E5)</f>
        <v>A &amp; C</v>
      </c>
      <c r="K5" s="23" t="str">
        <f>_xlfn.CONCAT(D5," &amp; ",E5)</f>
        <v>B &amp; C</v>
      </c>
      <c r="L5" s="23" t="str">
        <f>_xlfn.CONCAT(C5,", ",D5," &amp; ",E5)</f>
        <v>A, B &amp; C</v>
      </c>
      <c r="M5" s="22" t="s">
        <v>42</v>
      </c>
      <c r="N5" s="23" t="s">
        <v>47</v>
      </c>
      <c r="O5" s="23" t="s">
        <v>0</v>
      </c>
      <c r="P5" s="2"/>
    </row>
    <row r="6" spans="1:16" s="3" customFormat="1" ht="18" customHeight="1">
      <c r="A6" s="1"/>
      <c r="B6" s="26" t="s">
        <v>1</v>
      </c>
      <c r="C6" s="29"/>
      <c r="D6" s="30"/>
      <c r="E6" s="30"/>
      <c r="F6" s="29">
        <f>'1. Dashboard'!C45</f>
        <v>5.5</v>
      </c>
      <c r="G6" s="30">
        <f>'1. Dashboard'!C46</f>
        <v>3</v>
      </c>
      <c r="H6" s="30">
        <f>'1. Dashboard'!C47</f>
        <v>1.75</v>
      </c>
      <c r="I6" s="53">
        <f>'1. Dashboard'!C48</f>
        <v>8</v>
      </c>
      <c r="J6" s="54">
        <f>'1. Dashboard'!C49</f>
        <v>7</v>
      </c>
      <c r="K6" s="54">
        <f>'1. Dashboard'!C50</f>
        <v>4</v>
      </c>
      <c r="L6" s="54">
        <f>'1. Dashboard'!C51</f>
        <v>8</v>
      </c>
      <c r="M6" s="27"/>
      <c r="N6" s="28"/>
      <c r="O6" s="28"/>
      <c r="P6" s="2"/>
    </row>
    <row r="7" spans="1:16" ht="16.05" customHeight="1">
      <c r="B7" s="16" t="s">
        <v>2</v>
      </c>
      <c r="C7" s="33">
        <f>'1. Dashboard'!C11</f>
        <v>5</v>
      </c>
      <c r="D7" s="5">
        <f>'1. Dashboard'!D11</f>
        <v>2.5</v>
      </c>
      <c r="E7" s="34">
        <f>'1. Dashboard'!E11</f>
        <v>1.5</v>
      </c>
      <c r="F7" s="33">
        <f>C7-F$6</f>
        <v>-0.5</v>
      </c>
      <c r="G7" s="5">
        <f t="shared" ref="G7:G36" si="1">D7-G$6</f>
        <v>-0.5</v>
      </c>
      <c r="H7" s="34">
        <f t="shared" ref="H7:H36" si="2">E7-H$6</f>
        <v>-0.25</v>
      </c>
      <c r="I7" s="10">
        <f>C7+D7-I$6</f>
        <v>-0.5</v>
      </c>
      <c r="J7" s="9">
        <f>C7+E7-J$6</f>
        <v>-0.5</v>
      </c>
      <c r="K7" s="9">
        <f>D7+E7-K$6</f>
        <v>0</v>
      </c>
      <c r="L7" s="9">
        <f>C7+D7+E7-L$6</f>
        <v>1</v>
      </c>
      <c r="M7" s="17" t="str" cm="1">
        <f t="array" ref="M7">IF(MAX(F7:L7)&gt;0,INDEX($F$5:$L$5,0,MATCH(MAX(F7:L7),F7:L7,0)),0)</f>
        <v>A, B &amp; C</v>
      </c>
      <c r="N7" s="15" cm="1">
        <f t="array" ref="N7">IF(MAX(F7:L7)&gt;0,INDEX($F$4:$L$4,0,MATCH(MAX(F7:L7),F7:L7,0)),0)</f>
        <v>3</v>
      </c>
      <c r="O7" s="41">
        <f>IF(M7=0,0,HLOOKUP(M7,$F$5:$L$6,2,FALSE))</f>
        <v>8</v>
      </c>
    </row>
    <row r="8" spans="1:16" ht="16.05" customHeight="1">
      <c r="B8" s="16" t="s">
        <v>3</v>
      </c>
      <c r="C8" s="10">
        <f>'1. Dashboard'!C12</f>
        <v>3</v>
      </c>
      <c r="D8" s="6">
        <f>'1. Dashboard'!D12</f>
        <v>3.5</v>
      </c>
      <c r="E8" s="35">
        <f>'1. Dashboard'!E12</f>
        <v>1.5</v>
      </c>
      <c r="F8" s="10">
        <f t="shared" ref="F8:F36" si="3">C8-F$6</f>
        <v>-2.5</v>
      </c>
      <c r="G8" s="6">
        <f t="shared" si="1"/>
        <v>0.5</v>
      </c>
      <c r="H8" s="35">
        <f t="shared" si="2"/>
        <v>-0.25</v>
      </c>
      <c r="I8" s="10">
        <f t="shared" ref="I8:I36" si="4">C8+D8-I$6</f>
        <v>-1.5</v>
      </c>
      <c r="J8" s="9">
        <f t="shared" ref="J8:J36" si="5">C8+E8-J$6</f>
        <v>-2.5</v>
      </c>
      <c r="K8" s="9">
        <f t="shared" ref="K8:K36" si="6">D8+E8-K$6</f>
        <v>1</v>
      </c>
      <c r="L8" s="9">
        <f t="shared" ref="L8:L36" si="7">C8+D8+E8-L$6</f>
        <v>0</v>
      </c>
      <c r="M8" s="17" t="str" cm="1">
        <f t="array" ref="M8">IF(MAX(F8:L8)&gt;0,INDEX($F$5:$L$5,0,MATCH(MAX(F8:L8),F8:L8,0)),0)</f>
        <v>B &amp; C</v>
      </c>
      <c r="N8" s="15" cm="1">
        <f t="array" ref="N8">IF(MAX(F8:L8)&gt;0,INDEX($F$4:$L$4,0,MATCH(MAX(F8:L8),F8:L8,0)),0)</f>
        <v>2</v>
      </c>
      <c r="O8" s="41">
        <f t="shared" ref="O8:O36" si="8">IF(M8=0,0,HLOOKUP(M8,$F$5:$L$6,2,FALSE))</f>
        <v>4</v>
      </c>
    </row>
    <row r="9" spans="1:16" ht="16.05" customHeight="1">
      <c r="B9" s="16" t="s">
        <v>4</v>
      </c>
      <c r="C9" s="10">
        <f>'1. Dashboard'!C13</f>
        <v>2.5</v>
      </c>
      <c r="D9" s="6">
        <f>'1. Dashboard'!D13</f>
        <v>4.5</v>
      </c>
      <c r="E9" s="35">
        <f>'1. Dashboard'!E13</f>
        <v>1</v>
      </c>
      <c r="F9" s="10">
        <f t="shared" si="3"/>
        <v>-3</v>
      </c>
      <c r="G9" s="6">
        <f t="shared" si="1"/>
        <v>1.5</v>
      </c>
      <c r="H9" s="35">
        <f t="shared" si="2"/>
        <v>-0.75</v>
      </c>
      <c r="I9" s="10">
        <f t="shared" si="4"/>
        <v>-1</v>
      </c>
      <c r="J9" s="9">
        <f t="shared" si="5"/>
        <v>-3.5</v>
      </c>
      <c r="K9" s="9">
        <f t="shared" si="6"/>
        <v>1.5</v>
      </c>
      <c r="L9" s="9">
        <f t="shared" si="7"/>
        <v>0</v>
      </c>
      <c r="M9" s="17" t="str" cm="1">
        <f t="array" ref="M9">IF(MAX(F9:L9)&gt;0,INDEX($F$5:$L$5,0,MATCH(MAX(F9:L9),F9:L9,0)),0)</f>
        <v>B</v>
      </c>
      <c r="N9" s="15" cm="1">
        <f t="array" ref="N9">IF(MAX(F9:L9)&gt;0,INDEX($F$4:$L$4,0,MATCH(MAX(F9:L9),F9:L9,0)),0)</f>
        <v>1</v>
      </c>
      <c r="O9" s="41">
        <f t="shared" si="8"/>
        <v>3</v>
      </c>
    </row>
    <row r="10" spans="1:16" ht="16.05" customHeight="1">
      <c r="B10" s="16" t="s">
        <v>5</v>
      </c>
      <c r="C10" s="10">
        <f>'1. Dashboard'!C14</f>
        <v>4.5</v>
      </c>
      <c r="D10" s="6">
        <f>'1. Dashboard'!D14</f>
        <v>3</v>
      </c>
      <c r="E10" s="35">
        <f>'1. Dashboard'!E14</f>
        <v>2.5</v>
      </c>
      <c r="F10" s="10">
        <f t="shared" si="3"/>
        <v>-1</v>
      </c>
      <c r="G10" s="6">
        <f t="shared" si="1"/>
        <v>0</v>
      </c>
      <c r="H10" s="35">
        <f t="shared" si="2"/>
        <v>0.75</v>
      </c>
      <c r="I10" s="10">
        <f t="shared" si="4"/>
        <v>-0.5</v>
      </c>
      <c r="J10" s="9">
        <f t="shared" si="5"/>
        <v>0</v>
      </c>
      <c r="K10" s="9">
        <f t="shared" si="6"/>
        <v>1.5</v>
      </c>
      <c r="L10" s="9">
        <f t="shared" si="7"/>
        <v>2</v>
      </c>
      <c r="M10" s="17" t="str" cm="1">
        <f t="array" ref="M10">IF(MAX(F10:L10)&gt;0,INDEX($F$5:$L$5,0,MATCH(MAX(F10:L10),F10:L10,0)),0)</f>
        <v>A, B &amp; C</v>
      </c>
      <c r="N10" s="15" cm="1">
        <f t="array" ref="N10">IF(MAX(F10:L10)&gt;0,INDEX($F$4:$L$4,0,MATCH(MAX(F10:L10),F10:L10,0)),0)</f>
        <v>3</v>
      </c>
      <c r="O10" s="41">
        <f t="shared" si="8"/>
        <v>8</v>
      </c>
    </row>
    <row r="11" spans="1:16" ht="16.05" customHeight="1">
      <c r="B11" s="16" t="s">
        <v>6</v>
      </c>
      <c r="C11" s="10">
        <f>'1. Dashboard'!C15</f>
        <v>7.5</v>
      </c>
      <c r="D11" s="6">
        <f>'1. Dashboard'!D15</f>
        <v>4</v>
      </c>
      <c r="E11" s="35">
        <f>'1. Dashboard'!E15</f>
        <v>1</v>
      </c>
      <c r="F11" s="10">
        <f t="shared" si="3"/>
        <v>2</v>
      </c>
      <c r="G11" s="6">
        <f t="shared" si="1"/>
        <v>1</v>
      </c>
      <c r="H11" s="35">
        <f t="shared" si="2"/>
        <v>-0.75</v>
      </c>
      <c r="I11" s="10">
        <f t="shared" si="4"/>
        <v>3.5</v>
      </c>
      <c r="J11" s="9">
        <f t="shared" si="5"/>
        <v>1.5</v>
      </c>
      <c r="K11" s="9">
        <f t="shared" si="6"/>
        <v>1</v>
      </c>
      <c r="L11" s="9">
        <f t="shared" si="7"/>
        <v>4.5</v>
      </c>
      <c r="M11" s="17" t="str" cm="1">
        <f t="array" ref="M11">IF(MAX(F11:L11)&gt;0,INDEX($F$5:$L$5,0,MATCH(MAX(F11:L11),F11:L11,0)),0)</f>
        <v>A, B &amp; C</v>
      </c>
      <c r="N11" s="15" cm="1">
        <f t="array" ref="N11">IF(MAX(F11:L11)&gt;0,INDEX($F$4:$L$4,0,MATCH(MAX(F11:L11),F11:L11,0)),0)</f>
        <v>3</v>
      </c>
      <c r="O11" s="41">
        <f t="shared" si="8"/>
        <v>8</v>
      </c>
    </row>
    <row r="12" spans="1:16" ht="16.05" customHeight="1">
      <c r="B12" s="16" t="s">
        <v>7</v>
      </c>
      <c r="C12" s="10">
        <f>'1. Dashboard'!C16</f>
        <v>6</v>
      </c>
      <c r="D12" s="6">
        <f>'1. Dashboard'!D16</f>
        <v>1.5</v>
      </c>
      <c r="E12" s="35">
        <f>'1. Dashboard'!E16</f>
        <v>2</v>
      </c>
      <c r="F12" s="10">
        <f t="shared" si="3"/>
        <v>0.5</v>
      </c>
      <c r="G12" s="6">
        <f t="shared" si="1"/>
        <v>-1.5</v>
      </c>
      <c r="H12" s="35">
        <f t="shared" si="2"/>
        <v>0.25</v>
      </c>
      <c r="I12" s="10">
        <f t="shared" si="4"/>
        <v>-0.5</v>
      </c>
      <c r="J12" s="9">
        <f t="shared" si="5"/>
        <v>1</v>
      </c>
      <c r="K12" s="9">
        <f t="shared" si="6"/>
        <v>-0.5</v>
      </c>
      <c r="L12" s="9">
        <f t="shared" si="7"/>
        <v>1.5</v>
      </c>
      <c r="M12" s="17" t="str" cm="1">
        <f t="array" ref="M12">IF(MAX(F12:L12)&gt;0,INDEX($F$5:$L$5,0,MATCH(MAX(F12:L12),F12:L12,0)),0)</f>
        <v>A, B &amp; C</v>
      </c>
      <c r="N12" s="15" cm="1">
        <f t="array" ref="N12">IF(MAX(F12:L12)&gt;0,INDEX($F$4:$L$4,0,MATCH(MAX(F12:L12),F12:L12,0)),0)</f>
        <v>3</v>
      </c>
      <c r="O12" s="41">
        <f t="shared" si="8"/>
        <v>8</v>
      </c>
    </row>
    <row r="13" spans="1:16" ht="16.05" customHeight="1">
      <c r="B13" s="16" t="s">
        <v>8</v>
      </c>
      <c r="C13" s="10">
        <f>'1. Dashboard'!C17</f>
        <v>4.5</v>
      </c>
      <c r="D13" s="6">
        <f>'1. Dashboard'!D17</f>
        <v>4.5</v>
      </c>
      <c r="E13" s="35">
        <f>'1. Dashboard'!E17</f>
        <v>1</v>
      </c>
      <c r="F13" s="10">
        <f t="shared" si="3"/>
        <v>-1</v>
      </c>
      <c r="G13" s="6">
        <f t="shared" si="1"/>
        <v>1.5</v>
      </c>
      <c r="H13" s="35">
        <f t="shared" si="2"/>
        <v>-0.75</v>
      </c>
      <c r="I13" s="10">
        <f t="shared" si="4"/>
        <v>1</v>
      </c>
      <c r="J13" s="9">
        <f t="shared" si="5"/>
        <v>-1.5</v>
      </c>
      <c r="K13" s="9">
        <f t="shared" si="6"/>
        <v>1.5</v>
      </c>
      <c r="L13" s="9">
        <f t="shared" si="7"/>
        <v>2</v>
      </c>
      <c r="M13" s="17" t="str" cm="1">
        <f t="array" ref="M13">IF(MAX(F13:L13)&gt;0,INDEX($F$5:$L$5,0,MATCH(MAX(F13:L13),F13:L13,0)),0)</f>
        <v>A, B &amp; C</v>
      </c>
      <c r="N13" s="15" cm="1">
        <f t="array" ref="N13">IF(MAX(F13:L13)&gt;0,INDEX($F$4:$L$4,0,MATCH(MAX(F13:L13),F13:L13,0)),0)</f>
        <v>3</v>
      </c>
      <c r="O13" s="41">
        <f t="shared" si="8"/>
        <v>8</v>
      </c>
    </row>
    <row r="14" spans="1:16" ht="16.05" customHeight="1">
      <c r="B14" s="16" t="s">
        <v>9</v>
      </c>
      <c r="C14" s="10">
        <f>'1. Dashboard'!C18</f>
        <v>4.5</v>
      </c>
      <c r="D14" s="6">
        <f>'1. Dashboard'!D18</f>
        <v>4.5</v>
      </c>
      <c r="E14" s="35">
        <f>'1. Dashboard'!E18</f>
        <v>2</v>
      </c>
      <c r="F14" s="10">
        <f t="shared" si="3"/>
        <v>-1</v>
      </c>
      <c r="G14" s="6">
        <f t="shared" si="1"/>
        <v>1.5</v>
      </c>
      <c r="H14" s="35">
        <f t="shared" si="2"/>
        <v>0.25</v>
      </c>
      <c r="I14" s="10">
        <f t="shared" si="4"/>
        <v>1</v>
      </c>
      <c r="J14" s="9">
        <f t="shared" si="5"/>
        <v>-0.5</v>
      </c>
      <c r="K14" s="9">
        <f t="shared" si="6"/>
        <v>2.5</v>
      </c>
      <c r="L14" s="9">
        <f t="shared" si="7"/>
        <v>3</v>
      </c>
      <c r="M14" s="17" t="str" cm="1">
        <f t="array" ref="M14">IF(MAX(F14:L14)&gt;0,INDEX($F$5:$L$5,0,MATCH(MAX(F14:L14),F14:L14,0)),0)</f>
        <v>A, B &amp; C</v>
      </c>
      <c r="N14" s="15" cm="1">
        <f t="array" ref="N14">IF(MAX(F14:L14)&gt;0,INDEX($F$4:$L$4,0,MATCH(MAX(F14:L14),F14:L14,0)),0)</f>
        <v>3</v>
      </c>
      <c r="O14" s="41">
        <f t="shared" si="8"/>
        <v>8</v>
      </c>
    </row>
    <row r="15" spans="1:16" ht="16.05" customHeight="1">
      <c r="B15" s="16" t="s">
        <v>10</v>
      </c>
      <c r="C15" s="10">
        <f>'1. Dashboard'!C19</f>
        <v>7.5</v>
      </c>
      <c r="D15" s="6">
        <f>'1. Dashboard'!D19</f>
        <v>3.5</v>
      </c>
      <c r="E15" s="35">
        <f>'1. Dashboard'!E19</f>
        <v>2</v>
      </c>
      <c r="F15" s="10">
        <f t="shared" si="3"/>
        <v>2</v>
      </c>
      <c r="G15" s="6">
        <f t="shared" si="1"/>
        <v>0.5</v>
      </c>
      <c r="H15" s="35">
        <f t="shared" si="2"/>
        <v>0.25</v>
      </c>
      <c r="I15" s="10">
        <f t="shared" si="4"/>
        <v>3</v>
      </c>
      <c r="J15" s="9">
        <f t="shared" si="5"/>
        <v>2.5</v>
      </c>
      <c r="K15" s="9">
        <f t="shared" si="6"/>
        <v>1.5</v>
      </c>
      <c r="L15" s="9">
        <f t="shared" si="7"/>
        <v>5</v>
      </c>
      <c r="M15" s="17" t="str" cm="1">
        <f t="array" ref="M15">IF(MAX(F15:L15)&gt;0,INDEX($F$5:$L$5,0,MATCH(MAX(F15:L15),F15:L15,0)),0)</f>
        <v>A, B &amp; C</v>
      </c>
      <c r="N15" s="15" cm="1">
        <f t="array" ref="N15">IF(MAX(F15:L15)&gt;0,INDEX($F$4:$L$4,0,MATCH(MAX(F15:L15),F15:L15,0)),0)</f>
        <v>3</v>
      </c>
      <c r="O15" s="41">
        <f t="shared" si="8"/>
        <v>8</v>
      </c>
    </row>
    <row r="16" spans="1:16" ht="16.05" customHeight="1">
      <c r="B16" s="16" t="s">
        <v>11</v>
      </c>
      <c r="C16" s="10">
        <f>'1. Dashboard'!C20</f>
        <v>7</v>
      </c>
      <c r="D16" s="6">
        <f>'1. Dashboard'!D20</f>
        <v>2</v>
      </c>
      <c r="E16" s="35">
        <f>'1. Dashboard'!E20</f>
        <v>1.5</v>
      </c>
      <c r="F16" s="10">
        <f t="shared" si="3"/>
        <v>1.5</v>
      </c>
      <c r="G16" s="6">
        <f t="shared" si="1"/>
        <v>-1</v>
      </c>
      <c r="H16" s="35">
        <f t="shared" si="2"/>
        <v>-0.25</v>
      </c>
      <c r="I16" s="10">
        <f t="shared" si="4"/>
        <v>1</v>
      </c>
      <c r="J16" s="9">
        <f t="shared" si="5"/>
        <v>1.5</v>
      </c>
      <c r="K16" s="9">
        <f t="shared" si="6"/>
        <v>-0.5</v>
      </c>
      <c r="L16" s="9">
        <f t="shared" si="7"/>
        <v>2.5</v>
      </c>
      <c r="M16" s="17" t="str" cm="1">
        <f t="array" ref="M16">IF(MAX(F16:L16)&gt;0,INDEX($F$5:$L$5,0,MATCH(MAX(F16:L16),F16:L16,0)),0)</f>
        <v>A, B &amp; C</v>
      </c>
      <c r="N16" s="15" cm="1">
        <f t="array" ref="N16">IF(MAX(F16:L16)&gt;0,INDEX($F$4:$L$4,0,MATCH(MAX(F16:L16),F16:L16,0)),0)</f>
        <v>3</v>
      </c>
      <c r="O16" s="41">
        <f t="shared" si="8"/>
        <v>8</v>
      </c>
    </row>
    <row r="17" spans="2:37" ht="16.05" customHeight="1">
      <c r="B17" s="16" t="s">
        <v>12</v>
      </c>
      <c r="C17" s="10">
        <f>'1. Dashboard'!C21</f>
        <v>4</v>
      </c>
      <c r="D17" s="6">
        <f>'1. Dashboard'!D21</f>
        <v>1</v>
      </c>
      <c r="E17" s="35">
        <f>'1. Dashboard'!E21</f>
        <v>1</v>
      </c>
      <c r="F17" s="10">
        <f t="shared" si="3"/>
        <v>-1.5</v>
      </c>
      <c r="G17" s="6">
        <f t="shared" si="1"/>
        <v>-2</v>
      </c>
      <c r="H17" s="35">
        <f t="shared" si="2"/>
        <v>-0.75</v>
      </c>
      <c r="I17" s="10">
        <f t="shared" si="4"/>
        <v>-3</v>
      </c>
      <c r="J17" s="9">
        <f t="shared" si="5"/>
        <v>-2</v>
      </c>
      <c r="K17" s="9">
        <f t="shared" si="6"/>
        <v>-2</v>
      </c>
      <c r="L17" s="9">
        <f t="shared" si="7"/>
        <v>-2</v>
      </c>
      <c r="M17" s="17" cm="1">
        <f t="array" ref="M17">IF(MAX(F17:L17)&gt;0,INDEX($F$5:$L$5,0,MATCH(MAX(F17:L17),F17:L17,0)),0)</f>
        <v>0</v>
      </c>
      <c r="N17" s="15" cm="1">
        <f t="array" ref="N17">IF(MAX(F17:L17)&gt;0,INDEX($F$4:$L$4,0,MATCH(MAX(F17:L17),F17:L17,0)),0)</f>
        <v>0</v>
      </c>
      <c r="O17" s="41">
        <f t="shared" si="8"/>
        <v>0</v>
      </c>
    </row>
    <row r="18" spans="2:37" s="1" customFormat="1" ht="16.05" customHeight="1">
      <c r="B18" s="16" t="s">
        <v>13</v>
      </c>
      <c r="C18" s="10">
        <f>'1. Dashboard'!C22</f>
        <v>4</v>
      </c>
      <c r="D18" s="6">
        <f>'1. Dashboard'!D22</f>
        <v>4.5</v>
      </c>
      <c r="E18" s="35">
        <f>'1. Dashboard'!E22</f>
        <v>2</v>
      </c>
      <c r="F18" s="10">
        <f t="shared" si="3"/>
        <v>-1.5</v>
      </c>
      <c r="G18" s="6">
        <f t="shared" si="1"/>
        <v>1.5</v>
      </c>
      <c r="H18" s="35">
        <f t="shared" si="2"/>
        <v>0.25</v>
      </c>
      <c r="I18" s="10">
        <f t="shared" si="4"/>
        <v>0.5</v>
      </c>
      <c r="J18" s="9">
        <f t="shared" si="5"/>
        <v>-1</v>
      </c>
      <c r="K18" s="9">
        <f t="shared" si="6"/>
        <v>2.5</v>
      </c>
      <c r="L18" s="9">
        <f t="shared" si="7"/>
        <v>2.5</v>
      </c>
      <c r="M18" s="17" t="str" cm="1">
        <f t="array" ref="M18">IF(MAX(F18:L18)&gt;0,INDEX($F$5:$L$5,0,MATCH(MAX(F18:L18),F18:L18,0)),0)</f>
        <v>B &amp; C</v>
      </c>
      <c r="N18" s="15" cm="1">
        <f t="array" ref="N18">IF(MAX(F18:L18)&gt;0,INDEX($F$4:$L$4,0,MATCH(MAX(F18:L18),F18:L18,0)),0)</f>
        <v>2</v>
      </c>
      <c r="O18" s="41">
        <f t="shared" si="8"/>
        <v>4</v>
      </c>
      <c r="Q18" s="4"/>
      <c r="R18" s="4"/>
      <c r="S18" s="4"/>
      <c r="T18" s="4"/>
      <c r="U18" s="4"/>
      <c r="V18" s="4"/>
      <c r="W18" s="4"/>
      <c r="X18" s="4"/>
      <c r="Y18" s="4"/>
      <c r="Z18" s="4"/>
      <c r="AA18" s="4"/>
      <c r="AB18" s="4"/>
      <c r="AC18" s="4"/>
      <c r="AD18" s="4"/>
      <c r="AE18" s="4"/>
      <c r="AF18" s="4"/>
      <c r="AG18" s="4"/>
      <c r="AH18" s="4"/>
      <c r="AI18" s="4"/>
      <c r="AJ18" s="4"/>
      <c r="AK18" s="4"/>
    </row>
    <row r="19" spans="2:37" s="1" customFormat="1" ht="16.05" customHeight="1">
      <c r="B19" s="16" t="s">
        <v>14</v>
      </c>
      <c r="C19" s="10">
        <f>'1. Dashboard'!C23</f>
        <v>6</v>
      </c>
      <c r="D19" s="6">
        <f>'1. Dashboard'!D23</f>
        <v>4</v>
      </c>
      <c r="E19" s="35">
        <f>'1. Dashboard'!E23</f>
        <v>2</v>
      </c>
      <c r="F19" s="10">
        <f t="shared" si="3"/>
        <v>0.5</v>
      </c>
      <c r="G19" s="6">
        <f t="shared" si="1"/>
        <v>1</v>
      </c>
      <c r="H19" s="35">
        <f t="shared" si="2"/>
        <v>0.25</v>
      </c>
      <c r="I19" s="10">
        <f t="shared" si="4"/>
        <v>2</v>
      </c>
      <c r="J19" s="9">
        <f t="shared" si="5"/>
        <v>1</v>
      </c>
      <c r="K19" s="9">
        <f t="shared" si="6"/>
        <v>2</v>
      </c>
      <c r="L19" s="9">
        <f t="shared" si="7"/>
        <v>4</v>
      </c>
      <c r="M19" s="17" t="str" cm="1">
        <f t="array" ref="M19">IF(MAX(F19:L19)&gt;0,INDEX($F$5:$L$5,0,MATCH(MAX(F19:L19),F19:L19,0)),0)</f>
        <v>A, B &amp; C</v>
      </c>
      <c r="N19" s="15" cm="1">
        <f t="array" ref="N19">IF(MAX(F19:L19)&gt;0,INDEX($F$4:$L$4,0,MATCH(MAX(F19:L19),F19:L19,0)),0)</f>
        <v>3</v>
      </c>
      <c r="O19" s="41">
        <f t="shared" si="8"/>
        <v>8</v>
      </c>
      <c r="Q19" s="4"/>
      <c r="R19" s="4"/>
      <c r="S19" s="4"/>
      <c r="T19" s="4"/>
      <c r="U19" s="4"/>
      <c r="V19" s="4"/>
      <c r="W19" s="4"/>
      <c r="X19" s="4"/>
      <c r="Y19" s="4"/>
      <c r="Z19" s="4"/>
      <c r="AA19" s="4"/>
      <c r="AB19" s="4"/>
      <c r="AC19" s="4"/>
      <c r="AD19" s="4"/>
      <c r="AE19" s="4"/>
      <c r="AF19" s="4"/>
      <c r="AG19" s="4"/>
      <c r="AH19" s="4"/>
      <c r="AI19" s="4"/>
      <c r="AJ19" s="4"/>
      <c r="AK19" s="4"/>
    </row>
    <row r="20" spans="2:37" s="1" customFormat="1" ht="16.05" customHeight="1">
      <c r="B20" s="16" t="s">
        <v>15</v>
      </c>
      <c r="C20" s="10">
        <f>'1. Dashboard'!C24</f>
        <v>4</v>
      </c>
      <c r="D20" s="6">
        <f>'1. Dashboard'!D24</f>
        <v>4.5</v>
      </c>
      <c r="E20" s="35">
        <f>'1. Dashboard'!E24</f>
        <v>1</v>
      </c>
      <c r="F20" s="10">
        <f t="shared" si="3"/>
        <v>-1.5</v>
      </c>
      <c r="G20" s="6">
        <f t="shared" si="1"/>
        <v>1.5</v>
      </c>
      <c r="H20" s="35">
        <f t="shared" si="2"/>
        <v>-0.75</v>
      </c>
      <c r="I20" s="10">
        <f t="shared" si="4"/>
        <v>0.5</v>
      </c>
      <c r="J20" s="9">
        <f t="shared" si="5"/>
        <v>-2</v>
      </c>
      <c r="K20" s="9">
        <f t="shared" si="6"/>
        <v>1.5</v>
      </c>
      <c r="L20" s="9">
        <f t="shared" si="7"/>
        <v>1.5</v>
      </c>
      <c r="M20" s="17" t="str" cm="1">
        <f t="array" ref="M20">IF(MAX(F20:L20)&gt;0,INDEX($F$5:$L$5,0,MATCH(MAX(F20:L20),F20:L20,0)),0)</f>
        <v>B</v>
      </c>
      <c r="N20" s="15" cm="1">
        <f t="array" ref="N20">IF(MAX(F20:L20)&gt;0,INDEX($F$4:$L$4,0,MATCH(MAX(F20:L20),F20:L20,0)),0)</f>
        <v>1</v>
      </c>
      <c r="O20" s="41">
        <f t="shared" si="8"/>
        <v>3</v>
      </c>
      <c r="Q20" s="4"/>
      <c r="R20" s="4"/>
      <c r="S20" s="4"/>
      <c r="T20" s="4"/>
      <c r="U20" s="4"/>
      <c r="V20" s="4"/>
      <c r="W20" s="4"/>
      <c r="X20" s="4"/>
      <c r="Y20" s="4"/>
      <c r="Z20" s="4"/>
      <c r="AA20" s="4"/>
      <c r="AB20" s="4"/>
      <c r="AC20" s="4"/>
      <c r="AD20" s="4"/>
      <c r="AE20" s="4"/>
      <c r="AF20" s="4"/>
      <c r="AG20" s="4"/>
      <c r="AH20" s="4"/>
      <c r="AI20" s="4"/>
      <c r="AJ20" s="4"/>
      <c r="AK20" s="4"/>
    </row>
    <row r="21" spans="2:37" s="1" customFormat="1" ht="16.05" customHeight="1">
      <c r="B21" s="16" t="s">
        <v>16</v>
      </c>
      <c r="C21" s="10">
        <f>'1. Dashboard'!C25</f>
        <v>7.5</v>
      </c>
      <c r="D21" s="6">
        <f>'1. Dashboard'!D25</f>
        <v>3.5</v>
      </c>
      <c r="E21" s="35">
        <f>'1. Dashboard'!E25</f>
        <v>2.5</v>
      </c>
      <c r="F21" s="10">
        <f t="shared" si="3"/>
        <v>2</v>
      </c>
      <c r="G21" s="6">
        <f t="shared" si="1"/>
        <v>0.5</v>
      </c>
      <c r="H21" s="35">
        <f t="shared" si="2"/>
        <v>0.75</v>
      </c>
      <c r="I21" s="10">
        <f t="shared" si="4"/>
        <v>3</v>
      </c>
      <c r="J21" s="9">
        <f t="shared" si="5"/>
        <v>3</v>
      </c>
      <c r="K21" s="9">
        <f t="shared" si="6"/>
        <v>2</v>
      </c>
      <c r="L21" s="9">
        <f t="shared" si="7"/>
        <v>5.5</v>
      </c>
      <c r="M21" s="17" t="str" cm="1">
        <f t="array" ref="M21">IF(MAX(F21:L21)&gt;0,INDEX($F$5:$L$5,0,MATCH(MAX(F21:L21),F21:L21,0)),0)</f>
        <v>A, B &amp; C</v>
      </c>
      <c r="N21" s="15" cm="1">
        <f t="array" ref="N21">IF(MAX(F21:L21)&gt;0,INDEX($F$4:$L$4,0,MATCH(MAX(F21:L21),F21:L21,0)),0)</f>
        <v>3</v>
      </c>
      <c r="O21" s="41">
        <f t="shared" si="8"/>
        <v>8</v>
      </c>
      <c r="Q21" s="4"/>
      <c r="R21" s="4"/>
      <c r="S21" s="4"/>
      <c r="T21" s="4"/>
      <c r="U21" s="4"/>
      <c r="V21" s="4"/>
      <c r="W21" s="4"/>
      <c r="X21" s="4"/>
      <c r="Y21" s="4"/>
      <c r="Z21" s="4"/>
      <c r="AA21" s="4"/>
      <c r="AB21" s="4"/>
      <c r="AC21" s="4"/>
      <c r="AD21" s="4"/>
      <c r="AE21" s="4"/>
      <c r="AF21" s="4"/>
      <c r="AG21" s="4"/>
      <c r="AH21" s="4"/>
      <c r="AI21" s="4"/>
      <c r="AJ21" s="4"/>
      <c r="AK21" s="4"/>
    </row>
    <row r="22" spans="2:37" s="1" customFormat="1" ht="16.05" customHeight="1">
      <c r="B22" s="16" t="s">
        <v>17</v>
      </c>
      <c r="C22" s="10">
        <f>'1. Dashboard'!C26</f>
        <v>2.5</v>
      </c>
      <c r="D22" s="6">
        <f>'1. Dashboard'!D26</f>
        <v>2</v>
      </c>
      <c r="E22" s="35">
        <f>'1. Dashboard'!E26</f>
        <v>1</v>
      </c>
      <c r="F22" s="10">
        <f t="shared" si="3"/>
        <v>-3</v>
      </c>
      <c r="G22" s="6">
        <f t="shared" si="1"/>
        <v>-1</v>
      </c>
      <c r="H22" s="35">
        <f t="shared" si="2"/>
        <v>-0.75</v>
      </c>
      <c r="I22" s="10">
        <f t="shared" si="4"/>
        <v>-3.5</v>
      </c>
      <c r="J22" s="9">
        <f t="shared" si="5"/>
        <v>-3.5</v>
      </c>
      <c r="K22" s="9">
        <f t="shared" si="6"/>
        <v>-1</v>
      </c>
      <c r="L22" s="9">
        <f t="shared" si="7"/>
        <v>-2.5</v>
      </c>
      <c r="M22" s="17" cm="1">
        <f t="array" ref="M22">IF(MAX(F22:L22)&gt;0,INDEX($F$5:$L$5,0,MATCH(MAX(F22:L22),F22:L22,0)),0)</f>
        <v>0</v>
      </c>
      <c r="N22" s="15" cm="1">
        <f t="array" ref="N22">IF(MAX(F22:L22)&gt;0,INDEX($F$4:$L$4,0,MATCH(MAX(F22:L22),F22:L22,0)),0)</f>
        <v>0</v>
      </c>
      <c r="O22" s="41">
        <f t="shared" si="8"/>
        <v>0</v>
      </c>
      <c r="Q22" s="4"/>
      <c r="R22" s="4"/>
      <c r="S22" s="4"/>
      <c r="T22" s="4"/>
      <c r="U22" s="4"/>
      <c r="V22" s="4"/>
      <c r="W22" s="4"/>
      <c r="X22" s="4"/>
      <c r="Y22" s="4"/>
      <c r="Z22" s="4"/>
      <c r="AA22" s="4"/>
      <c r="AB22" s="4"/>
      <c r="AC22" s="4"/>
      <c r="AD22" s="4"/>
      <c r="AE22" s="4"/>
      <c r="AF22" s="4"/>
      <c r="AG22" s="4"/>
      <c r="AH22" s="4"/>
      <c r="AI22" s="4"/>
      <c r="AJ22" s="4"/>
      <c r="AK22" s="4"/>
    </row>
    <row r="23" spans="2:37" s="1" customFormat="1" ht="16.05" customHeight="1">
      <c r="B23" s="16" t="s">
        <v>18</v>
      </c>
      <c r="C23" s="10">
        <f>'1. Dashboard'!C27</f>
        <v>7.5</v>
      </c>
      <c r="D23" s="6">
        <f>'1. Dashboard'!D27</f>
        <v>1</v>
      </c>
      <c r="E23" s="35">
        <f>'1. Dashboard'!E27</f>
        <v>2.5</v>
      </c>
      <c r="F23" s="10">
        <f t="shared" si="3"/>
        <v>2</v>
      </c>
      <c r="G23" s="6">
        <f t="shared" si="1"/>
        <v>-2</v>
      </c>
      <c r="H23" s="35">
        <f t="shared" si="2"/>
        <v>0.75</v>
      </c>
      <c r="I23" s="10">
        <f t="shared" si="4"/>
        <v>0.5</v>
      </c>
      <c r="J23" s="9">
        <f t="shared" si="5"/>
        <v>3</v>
      </c>
      <c r="K23" s="9">
        <f t="shared" si="6"/>
        <v>-0.5</v>
      </c>
      <c r="L23" s="9">
        <f t="shared" si="7"/>
        <v>3</v>
      </c>
      <c r="M23" s="17" t="str" cm="1">
        <f t="array" ref="M23">IF(MAX(F23:L23)&gt;0,INDEX($F$5:$L$5,0,MATCH(MAX(F23:L23),F23:L23,0)),0)</f>
        <v>A &amp; C</v>
      </c>
      <c r="N23" s="15" cm="1">
        <f t="array" ref="N23">IF(MAX(F23:L23)&gt;0,INDEX($F$4:$L$4,0,MATCH(MAX(F23:L23),F23:L23,0)),0)</f>
        <v>2</v>
      </c>
      <c r="O23" s="41">
        <f t="shared" si="8"/>
        <v>7</v>
      </c>
      <c r="Q23" s="4"/>
      <c r="R23" s="4"/>
      <c r="S23" s="4"/>
      <c r="T23" s="4"/>
      <c r="U23" s="4"/>
      <c r="V23" s="4"/>
      <c r="W23" s="4"/>
      <c r="X23" s="4"/>
      <c r="Y23" s="4"/>
      <c r="Z23" s="4"/>
      <c r="AA23" s="4"/>
      <c r="AB23" s="4"/>
      <c r="AC23" s="4"/>
      <c r="AD23" s="4"/>
      <c r="AE23" s="4"/>
      <c r="AF23" s="4"/>
      <c r="AG23" s="4"/>
      <c r="AH23" s="4"/>
      <c r="AI23" s="4"/>
      <c r="AJ23" s="4"/>
      <c r="AK23" s="4"/>
    </row>
    <row r="24" spans="2:37" s="1" customFormat="1" ht="16.05" customHeight="1">
      <c r="B24" s="16" t="s">
        <v>19</v>
      </c>
      <c r="C24" s="10">
        <f>'1. Dashboard'!C28</f>
        <v>5</v>
      </c>
      <c r="D24" s="6">
        <f>'1. Dashboard'!D28</f>
        <v>3</v>
      </c>
      <c r="E24" s="35">
        <f>'1. Dashboard'!E28</f>
        <v>1.5</v>
      </c>
      <c r="F24" s="10">
        <f t="shared" si="3"/>
        <v>-0.5</v>
      </c>
      <c r="G24" s="6">
        <f t="shared" si="1"/>
        <v>0</v>
      </c>
      <c r="H24" s="35">
        <f t="shared" si="2"/>
        <v>-0.25</v>
      </c>
      <c r="I24" s="10">
        <f t="shared" si="4"/>
        <v>0</v>
      </c>
      <c r="J24" s="9">
        <f t="shared" si="5"/>
        <v>-0.5</v>
      </c>
      <c r="K24" s="9">
        <f t="shared" si="6"/>
        <v>0.5</v>
      </c>
      <c r="L24" s="9">
        <f t="shared" si="7"/>
        <v>1.5</v>
      </c>
      <c r="M24" s="17" t="str" cm="1">
        <f t="array" ref="M24">IF(MAX(F24:L24)&gt;0,INDEX($F$5:$L$5,0,MATCH(MAX(F24:L24),F24:L24,0)),0)</f>
        <v>A, B &amp; C</v>
      </c>
      <c r="N24" s="15" cm="1">
        <f t="array" ref="N24">IF(MAX(F24:L24)&gt;0,INDEX($F$4:$L$4,0,MATCH(MAX(F24:L24),F24:L24,0)),0)</f>
        <v>3</v>
      </c>
      <c r="O24" s="41">
        <f t="shared" si="8"/>
        <v>8</v>
      </c>
      <c r="Q24" s="4"/>
      <c r="R24" s="4"/>
      <c r="S24" s="4"/>
      <c r="T24" s="4"/>
      <c r="U24" s="4"/>
      <c r="V24" s="4"/>
      <c r="W24" s="4"/>
      <c r="X24" s="4"/>
      <c r="Y24" s="4"/>
      <c r="Z24" s="4"/>
      <c r="AA24" s="4"/>
      <c r="AB24" s="4"/>
      <c r="AC24" s="4"/>
      <c r="AD24" s="4"/>
      <c r="AE24" s="4"/>
      <c r="AF24" s="4"/>
      <c r="AG24" s="4"/>
      <c r="AH24" s="4"/>
      <c r="AI24" s="4"/>
      <c r="AJ24" s="4"/>
      <c r="AK24" s="4"/>
    </row>
    <row r="25" spans="2:37" s="1" customFormat="1" ht="16.05" customHeight="1">
      <c r="B25" s="16" t="s">
        <v>20</v>
      </c>
      <c r="C25" s="10">
        <f>'1. Dashboard'!C29</f>
        <v>2.5</v>
      </c>
      <c r="D25" s="6">
        <f>'1. Dashboard'!D29</f>
        <v>2</v>
      </c>
      <c r="E25" s="35">
        <f>'1. Dashboard'!E29</f>
        <v>2</v>
      </c>
      <c r="F25" s="10">
        <f t="shared" si="3"/>
        <v>-3</v>
      </c>
      <c r="G25" s="6">
        <f t="shared" si="1"/>
        <v>-1</v>
      </c>
      <c r="H25" s="35">
        <f t="shared" si="2"/>
        <v>0.25</v>
      </c>
      <c r="I25" s="10">
        <f t="shared" si="4"/>
        <v>-3.5</v>
      </c>
      <c r="J25" s="9">
        <f t="shared" si="5"/>
        <v>-2.5</v>
      </c>
      <c r="K25" s="9">
        <f t="shared" si="6"/>
        <v>0</v>
      </c>
      <c r="L25" s="9">
        <f t="shared" si="7"/>
        <v>-1.5</v>
      </c>
      <c r="M25" s="17" t="str" cm="1">
        <f t="array" ref="M25">IF(MAX(F25:L25)&gt;0,INDEX($F$5:$L$5,0,MATCH(MAX(F25:L25),F25:L25,0)),0)</f>
        <v>C</v>
      </c>
      <c r="N25" s="15" cm="1">
        <f t="array" ref="N25">IF(MAX(F25:L25)&gt;0,INDEX($F$4:$L$4,0,MATCH(MAX(F25:L25),F25:L25,0)),0)</f>
        <v>1</v>
      </c>
      <c r="O25" s="41">
        <f t="shared" si="8"/>
        <v>1.75</v>
      </c>
      <c r="Q25" s="4"/>
      <c r="R25" s="4"/>
      <c r="S25" s="4"/>
      <c r="T25" s="4"/>
      <c r="U25" s="4"/>
      <c r="V25" s="4"/>
      <c r="W25" s="4"/>
      <c r="X25" s="4"/>
      <c r="Y25" s="4"/>
      <c r="Z25" s="4"/>
      <c r="AA25" s="4"/>
      <c r="AB25" s="4"/>
      <c r="AC25" s="4"/>
      <c r="AD25" s="4"/>
      <c r="AE25" s="4"/>
      <c r="AF25" s="4"/>
      <c r="AG25" s="4"/>
      <c r="AH25" s="4"/>
      <c r="AI25" s="4"/>
      <c r="AJ25" s="4"/>
      <c r="AK25" s="4"/>
    </row>
    <row r="26" spans="2:37" s="1" customFormat="1" ht="16.05" customHeight="1">
      <c r="B26" s="16" t="s">
        <v>21</v>
      </c>
      <c r="C26" s="10">
        <f>'1. Dashboard'!C30</f>
        <v>7</v>
      </c>
      <c r="D26" s="6">
        <f>'1. Dashboard'!D30</f>
        <v>1.5</v>
      </c>
      <c r="E26" s="35">
        <f>'1. Dashboard'!E30</f>
        <v>1</v>
      </c>
      <c r="F26" s="10">
        <f t="shared" si="3"/>
        <v>1.5</v>
      </c>
      <c r="G26" s="6">
        <f t="shared" si="1"/>
        <v>-1.5</v>
      </c>
      <c r="H26" s="35">
        <f t="shared" si="2"/>
        <v>-0.75</v>
      </c>
      <c r="I26" s="10">
        <f t="shared" si="4"/>
        <v>0.5</v>
      </c>
      <c r="J26" s="9">
        <f t="shared" si="5"/>
        <v>1</v>
      </c>
      <c r="K26" s="9">
        <f t="shared" si="6"/>
        <v>-1.5</v>
      </c>
      <c r="L26" s="9">
        <f t="shared" si="7"/>
        <v>1.5</v>
      </c>
      <c r="M26" s="17" t="str" cm="1">
        <f t="array" ref="M26">IF(MAX(F26:L26)&gt;0,INDEX($F$5:$L$5,0,MATCH(MAX(F26:L26),F26:L26,0)),0)</f>
        <v>A</v>
      </c>
      <c r="N26" s="15" cm="1">
        <f t="array" ref="N26">IF(MAX(F26:L26)&gt;0,INDEX($F$4:$L$4,0,MATCH(MAX(F26:L26),F26:L26,0)),0)</f>
        <v>1</v>
      </c>
      <c r="O26" s="41">
        <f t="shared" si="8"/>
        <v>5.5</v>
      </c>
      <c r="Q26" s="4"/>
      <c r="R26" s="4"/>
      <c r="S26" s="4"/>
      <c r="T26" s="4"/>
      <c r="U26" s="4"/>
      <c r="V26" s="4"/>
      <c r="W26" s="4"/>
      <c r="X26" s="4"/>
      <c r="Y26" s="4"/>
      <c r="Z26" s="4"/>
      <c r="AA26" s="4"/>
      <c r="AB26" s="4"/>
      <c r="AC26" s="4"/>
      <c r="AD26" s="4"/>
      <c r="AE26" s="4"/>
      <c r="AF26" s="4"/>
      <c r="AG26" s="4"/>
      <c r="AH26" s="4"/>
      <c r="AI26" s="4"/>
      <c r="AJ26" s="4"/>
      <c r="AK26" s="4"/>
    </row>
    <row r="27" spans="2:37" s="1" customFormat="1" ht="16.05" customHeight="1">
      <c r="B27" s="16" t="s">
        <v>22</v>
      </c>
      <c r="C27" s="10">
        <f>'1. Dashboard'!C31</f>
        <v>6.5</v>
      </c>
      <c r="D27" s="6">
        <f>'1. Dashboard'!D31</f>
        <v>2</v>
      </c>
      <c r="E27" s="35">
        <f>'1. Dashboard'!E31</f>
        <v>2</v>
      </c>
      <c r="F27" s="10">
        <f t="shared" si="3"/>
        <v>1</v>
      </c>
      <c r="G27" s="6">
        <f t="shared" si="1"/>
        <v>-1</v>
      </c>
      <c r="H27" s="35">
        <f t="shared" si="2"/>
        <v>0.25</v>
      </c>
      <c r="I27" s="10">
        <f t="shared" si="4"/>
        <v>0.5</v>
      </c>
      <c r="J27" s="9">
        <f t="shared" si="5"/>
        <v>1.5</v>
      </c>
      <c r="K27" s="9">
        <f t="shared" si="6"/>
        <v>0</v>
      </c>
      <c r="L27" s="9">
        <f t="shared" si="7"/>
        <v>2.5</v>
      </c>
      <c r="M27" s="17" t="str" cm="1">
        <f t="array" ref="M27">IF(MAX(F27:L27)&gt;0,INDEX($F$5:$L$5,0,MATCH(MAX(F27:L27),F27:L27,0)),0)</f>
        <v>A, B &amp; C</v>
      </c>
      <c r="N27" s="15" cm="1">
        <f t="array" ref="N27">IF(MAX(F27:L27)&gt;0,INDEX($F$4:$L$4,0,MATCH(MAX(F27:L27),F27:L27,0)),0)</f>
        <v>3</v>
      </c>
      <c r="O27" s="41">
        <f t="shared" si="8"/>
        <v>8</v>
      </c>
      <c r="Q27" s="4"/>
      <c r="R27" s="4"/>
      <c r="S27" s="4"/>
      <c r="T27" s="4"/>
      <c r="U27" s="4"/>
      <c r="V27" s="4"/>
      <c r="W27" s="4"/>
      <c r="X27" s="4"/>
      <c r="Y27" s="4"/>
      <c r="Z27" s="4"/>
      <c r="AA27" s="4"/>
      <c r="AB27" s="4"/>
      <c r="AC27" s="4"/>
      <c r="AD27" s="4"/>
      <c r="AE27" s="4"/>
      <c r="AF27" s="4"/>
      <c r="AG27" s="4"/>
      <c r="AH27" s="4"/>
      <c r="AI27" s="4"/>
      <c r="AJ27" s="4"/>
      <c r="AK27" s="4"/>
    </row>
    <row r="28" spans="2:37" s="1" customFormat="1" ht="16.05" customHeight="1">
      <c r="B28" s="16" t="s">
        <v>23</v>
      </c>
      <c r="C28" s="10">
        <f>'1. Dashboard'!C32</f>
        <v>2.5</v>
      </c>
      <c r="D28" s="6">
        <f>'1. Dashboard'!D32</f>
        <v>2.5</v>
      </c>
      <c r="E28" s="35">
        <f>'1. Dashboard'!E32</f>
        <v>1.5</v>
      </c>
      <c r="F28" s="10">
        <f t="shared" si="3"/>
        <v>-3</v>
      </c>
      <c r="G28" s="6">
        <f t="shared" si="1"/>
        <v>-0.5</v>
      </c>
      <c r="H28" s="35">
        <f t="shared" si="2"/>
        <v>-0.25</v>
      </c>
      <c r="I28" s="10">
        <f t="shared" si="4"/>
        <v>-3</v>
      </c>
      <c r="J28" s="9">
        <f t="shared" si="5"/>
        <v>-3</v>
      </c>
      <c r="K28" s="9">
        <f t="shared" si="6"/>
        <v>0</v>
      </c>
      <c r="L28" s="9">
        <f t="shared" si="7"/>
        <v>-1.5</v>
      </c>
      <c r="M28" s="17" cm="1">
        <f t="array" ref="M28">IF(MAX(F28:L28)&gt;0,INDEX($F$5:$L$5,0,MATCH(MAX(F28:L28),F28:L28,0)),0)</f>
        <v>0</v>
      </c>
      <c r="N28" s="15" cm="1">
        <f t="array" ref="N28">IF(MAX(F28:L28)&gt;0,INDEX($F$4:$L$4,0,MATCH(MAX(F28:L28),F28:L28,0)),0)</f>
        <v>0</v>
      </c>
      <c r="O28" s="41">
        <f t="shared" si="8"/>
        <v>0</v>
      </c>
      <c r="Q28" s="4"/>
      <c r="R28" s="4"/>
      <c r="S28" s="4"/>
      <c r="T28" s="4"/>
      <c r="U28" s="4"/>
      <c r="V28" s="4"/>
      <c r="W28" s="4"/>
      <c r="X28" s="4"/>
      <c r="Y28" s="4"/>
      <c r="Z28" s="4"/>
      <c r="AA28" s="4"/>
      <c r="AB28" s="4"/>
      <c r="AC28" s="4"/>
      <c r="AD28" s="4"/>
      <c r="AE28" s="4"/>
      <c r="AF28" s="4"/>
      <c r="AG28" s="4"/>
      <c r="AH28" s="4"/>
      <c r="AI28" s="4"/>
      <c r="AJ28" s="4"/>
      <c r="AK28" s="4"/>
    </row>
    <row r="29" spans="2:37" s="1" customFormat="1" ht="16.05" customHeight="1">
      <c r="B29" s="16" t="s">
        <v>24</v>
      </c>
      <c r="C29" s="10">
        <f>'1. Dashboard'!C33</f>
        <v>7</v>
      </c>
      <c r="D29" s="6">
        <f>'1. Dashboard'!D33</f>
        <v>1</v>
      </c>
      <c r="E29" s="35">
        <f>'1. Dashboard'!E33</f>
        <v>1.5</v>
      </c>
      <c r="F29" s="10">
        <f t="shared" si="3"/>
        <v>1.5</v>
      </c>
      <c r="G29" s="6">
        <f t="shared" si="1"/>
        <v>-2</v>
      </c>
      <c r="H29" s="35">
        <f t="shared" si="2"/>
        <v>-0.25</v>
      </c>
      <c r="I29" s="10">
        <f t="shared" si="4"/>
        <v>0</v>
      </c>
      <c r="J29" s="9">
        <f t="shared" si="5"/>
        <v>1.5</v>
      </c>
      <c r="K29" s="9">
        <f t="shared" si="6"/>
        <v>-1.5</v>
      </c>
      <c r="L29" s="9">
        <f t="shared" si="7"/>
        <v>1.5</v>
      </c>
      <c r="M29" s="17" t="str" cm="1">
        <f t="array" ref="M29">IF(MAX(F29:L29)&gt;0,INDEX($F$5:$L$5,0,MATCH(MAX(F29:L29),F29:L29,0)),0)</f>
        <v>A</v>
      </c>
      <c r="N29" s="15" cm="1">
        <f t="array" ref="N29">IF(MAX(F29:L29)&gt;0,INDEX($F$4:$L$4,0,MATCH(MAX(F29:L29),F29:L29,0)),0)</f>
        <v>1</v>
      </c>
      <c r="O29" s="41">
        <f t="shared" si="8"/>
        <v>5.5</v>
      </c>
      <c r="Q29" s="4"/>
      <c r="R29" s="4"/>
      <c r="S29" s="4"/>
      <c r="T29" s="4"/>
      <c r="U29" s="4"/>
      <c r="V29" s="4"/>
      <c r="W29" s="4"/>
      <c r="X29" s="4"/>
      <c r="Y29" s="4"/>
      <c r="Z29" s="4"/>
      <c r="AA29" s="4"/>
      <c r="AB29" s="4"/>
      <c r="AC29" s="4"/>
      <c r="AD29" s="4"/>
      <c r="AE29" s="4"/>
      <c r="AF29" s="4"/>
      <c r="AG29" s="4"/>
      <c r="AH29" s="4"/>
      <c r="AI29" s="4"/>
      <c r="AJ29" s="4"/>
      <c r="AK29" s="4"/>
    </row>
    <row r="30" spans="2:37" s="1" customFormat="1" ht="16.05" customHeight="1">
      <c r="B30" s="16" t="s">
        <v>25</v>
      </c>
      <c r="C30" s="10">
        <f>'1. Dashboard'!C34</f>
        <v>7.5</v>
      </c>
      <c r="D30" s="6">
        <f>'1. Dashboard'!D34</f>
        <v>4</v>
      </c>
      <c r="E30" s="35">
        <f>'1. Dashboard'!E34</f>
        <v>1</v>
      </c>
      <c r="F30" s="10">
        <f t="shared" si="3"/>
        <v>2</v>
      </c>
      <c r="G30" s="6">
        <f t="shared" si="1"/>
        <v>1</v>
      </c>
      <c r="H30" s="35">
        <f t="shared" si="2"/>
        <v>-0.75</v>
      </c>
      <c r="I30" s="10">
        <f t="shared" si="4"/>
        <v>3.5</v>
      </c>
      <c r="J30" s="9">
        <f t="shared" si="5"/>
        <v>1.5</v>
      </c>
      <c r="K30" s="9">
        <f t="shared" si="6"/>
        <v>1</v>
      </c>
      <c r="L30" s="9">
        <f t="shared" si="7"/>
        <v>4.5</v>
      </c>
      <c r="M30" s="17" t="str" cm="1">
        <f t="array" ref="M30">IF(MAX(F30:L30)&gt;0,INDEX($F$5:$L$5,0,MATCH(MAX(F30:L30),F30:L30,0)),0)</f>
        <v>A, B &amp; C</v>
      </c>
      <c r="N30" s="15" cm="1">
        <f t="array" ref="N30">IF(MAX(F30:L30)&gt;0,INDEX($F$4:$L$4,0,MATCH(MAX(F30:L30),F30:L30,0)),0)</f>
        <v>3</v>
      </c>
      <c r="O30" s="41">
        <f t="shared" si="8"/>
        <v>8</v>
      </c>
      <c r="Q30" s="4"/>
      <c r="R30" s="4"/>
      <c r="S30" s="4"/>
      <c r="T30" s="4"/>
      <c r="U30" s="4"/>
      <c r="V30" s="4"/>
      <c r="W30" s="4"/>
      <c r="X30" s="4"/>
      <c r="Y30" s="4"/>
      <c r="Z30" s="4"/>
      <c r="AA30" s="4"/>
      <c r="AB30" s="4"/>
      <c r="AC30" s="4"/>
      <c r="AD30" s="4"/>
      <c r="AE30" s="4"/>
      <c r="AF30" s="4"/>
      <c r="AG30" s="4"/>
      <c r="AH30" s="4"/>
      <c r="AI30" s="4"/>
      <c r="AJ30" s="4"/>
      <c r="AK30" s="4"/>
    </row>
    <row r="31" spans="2:37" s="1" customFormat="1" ht="16.05" customHeight="1">
      <c r="B31" s="16" t="s">
        <v>26</v>
      </c>
      <c r="C31" s="10">
        <f>'1. Dashboard'!C35</f>
        <v>6</v>
      </c>
      <c r="D31" s="6">
        <f>'1. Dashboard'!D35</f>
        <v>1.5</v>
      </c>
      <c r="E31" s="35">
        <f>'1. Dashboard'!E35</f>
        <v>2</v>
      </c>
      <c r="F31" s="10">
        <f t="shared" si="3"/>
        <v>0.5</v>
      </c>
      <c r="G31" s="6">
        <f t="shared" si="1"/>
        <v>-1.5</v>
      </c>
      <c r="H31" s="35">
        <f t="shared" si="2"/>
        <v>0.25</v>
      </c>
      <c r="I31" s="10">
        <f t="shared" si="4"/>
        <v>-0.5</v>
      </c>
      <c r="J31" s="9">
        <f t="shared" si="5"/>
        <v>1</v>
      </c>
      <c r="K31" s="9">
        <f t="shared" si="6"/>
        <v>-0.5</v>
      </c>
      <c r="L31" s="9">
        <f t="shared" si="7"/>
        <v>1.5</v>
      </c>
      <c r="M31" s="17" t="str" cm="1">
        <f t="array" ref="M31">IF(MAX(F31:L31)&gt;0,INDEX($F$5:$L$5,0,MATCH(MAX(F31:L31),F31:L31,0)),0)</f>
        <v>A, B &amp; C</v>
      </c>
      <c r="N31" s="15" cm="1">
        <f t="array" ref="N31">IF(MAX(F31:L31)&gt;0,INDEX($F$4:$L$4,0,MATCH(MAX(F31:L31),F31:L31,0)),0)</f>
        <v>3</v>
      </c>
      <c r="O31" s="41">
        <f t="shared" si="8"/>
        <v>8</v>
      </c>
      <c r="Q31" s="4"/>
      <c r="R31" s="4"/>
      <c r="S31" s="4"/>
      <c r="T31" s="4"/>
      <c r="U31" s="4"/>
      <c r="V31" s="4"/>
      <c r="W31" s="4"/>
      <c r="X31" s="4"/>
      <c r="Y31" s="4"/>
      <c r="Z31" s="4"/>
      <c r="AA31" s="4"/>
      <c r="AB31" s="4"/>
      <c r="AC31" s="4"/>
      <c r="AD31" s="4"/>
      <c r="AE31" s="4"/>
      <c r="AF31" s="4"/>
      <c r="AG31" s="4"/>
      <c r="AH31" s="4"/>
      <c r="AI31" s="4"/>
      <c r="AJ31" s="4"/>
      <c r="AK31" s="4"/>
    </row>
    <row r="32" spans="2:37" s="1" customFormat="1" ht="16.05" customHeight="1">
      <c r="B32" s="16" t="s">
        <v>27</v>
      </c>
      <c r="C32" s="10">
        <f>'1. Dashboard'!C36</f>
        <v>4.5</v>
      </c>
      <c r="D32" s="6">
        <f>'1. Dashboard'!D36</f>
        <v>4.5</v>
      </c>
      <c r="E32" s="35">
        <f>'1. Dashboard'!E36</f>
        <v>1</v>
      </c>
      <c r="F32" s="10">
        <f t="shared" si="3"/>
        <v>-1</v>
      </c>
      <c r="G32" s="6">
        <f t="shared" si="1"/>
        <v>1.5</v>
      </c>
      <c r="H32" s="35">
        <f t="shared" si="2"/>
        <v>-0.75</v>
      </c>
      <c r="I32" s="10">
        <f t="shared" si="4"/>
        <v>1</v>
      </c>
      <c r="J32" s="9">
        <f t="shared" si="5"/>
        <v>-1.5</v>
      </c>
      <c r="K32" s="9">
        <f t="shared" si="6"/>
        <v>1.5</v>
      </c>
      <c r="L32" s="9">
        <f t="shared" si="7"/>
        <v>2</v>
      </c>
      <c r="M32" s="17" t="str" cm="1">
        <f t="array" ref="M32">IF(MAX(F32:L32)&gt;0,INDEX($F$5:$L$5,0,MATCH(MAX(F32:L32),F32:L32,0)),0)</f>
        <v>A, B &amp; C</v>
      </c>
      <c r="N32" s="15" cm="1">
        <f t="array" ref="N32">IF(MAX(F32:L32)&gt;0,INDEX($F$4:$L$4,0,MATCH(MAX(F32:L32),F32:L32,0)),0)</f>
        <v>3</v>
      </c>
      <c r="O32" s="41">
        <f t="shared" si="8"/>
        <v>8</v>
      </c>
      <c r="Q32" s="4"/>
      <c r="R32" s="4"/>
      <c r="S32" s="4"/>
      <c r="T32" s="4"/>
      <c r="U32" s="4"/>
      <c r="V32" s="4"/>
      <c r="W32" s="4"/>
      <c r="X32" s="4"/>
      <c r="Y32" s="4"/>
      <c r="Z32" s="4"/>
      <c r="AA32" s="4"/>
      <c r="AB32" s="4"/>
      <c r="AC32" s="4"/>
      <c r="AD32" s="4"/>
      <c r="AE32" s="4"/>
      <c r="AF32" s="4"/>
      <c r="AG32" s="4"/>
      <c r="AH32" s="4"/>
      <c r="AI32" s="4"/>
      <c r="AJ32" s="4"/>
      <c r="AK32" s="4"/>
    </row>
    <row r="33" spans="2:37" s="1" customFormat="1" ht="16.05" customHeight="1">
      <c r="B33" s="16" t="s">
        <v>28</v>
      </c>
      <c r="C33" s="10">
        <f>'1. Dashboard'!C37</f>
        <v>4.5</v>
      </c>
      <c r="D33" s="6">
        <f>'1. Dashboard'!D37</f>
        <v>4.5</v>
      </c>
      <c r="E33" s="35">
        <f>'1. Dashboard'!E37</f>
        <v>2</v>
      </c>
      <c r="F33" s="10">
        <f t="shared" si="3"/>
        <v>-1</v>
      </c>
      <c r="G33" s="6">
        <f t="shared" si="1"/>
        <v>1.5</v>
      </c>
      <c r="H33" s="35">
        <f t="shared" si="2"/>
        <v>0.25</v>
      </c>
      <c r="I33" s="10">
        <f t="shared" si="4"/>
        <v>1</v>
      </c>
      <c r="J33" s="9">
        <f t="shared" si="5"/>
        <v>-0.5</v>
      </c>
      <c r="K33" s="9">
        <f t="shared" si="6"/>
        <v>2.5</v>
      </c>
      <c r="L33" s="9">
        <f t="shared" si="7"/>
        <v>3</v>
      </c>
      <c r="M33" s="17" t="str" cm="1">
        <f t="array" ref="M33">IF(MAX(F33:L33)&gt;0,INDEX($F$5:$L$5,0,MATCH(MAX(F33:L33),F33:L33,0)),0)</f>
        <v>A, B &amp; C</v>
      </c>
      <c r="N33" s="15" cm="1">
        <f t="array" ref="N33">IF(MAX(F33:L33)&gt;0,INDEX($F$4:$L$4,0,MATCH(MAX(F33:L33),F33:L33,0)),0)</f>
        <v>3</v>
      </c>
      <c r="O33" s="41">
        <f t="shared" si="8"/>
        <v>8</v>
      </c>
      <c r="Q33" s="4"/>
      <c r="R33" s="4"/>
      <c r="S33" s="4"/>
      <c r="T33" s="4"/>
      <c r="U33" s="4"/>
      <c r="V33" s="4"/>
      <c r="W33" s="4"/>
      <c r="X33" s="4"/>
      <c r="Y33" s="4"/>
      <c r="Z33" s="4"/>
      <c r="AA33" s="4"/>
      <c r="AB33" s="4"/>
      <c r="AC33" s="4"/>
      <c r="AD33" s="4"/>
      <c r="AE33" s="4"/>
      <c r="AF33" s="4"/>
      <c r="AG33" s="4"/>
      <c r="AH33" s="4"/>
      <c r="AI33" s="4"/>
      <c r="AJ33" s="4"/>
      <c r="AK33" s="4"/>
    </row>
    <row r="34" spans="2:37" s="1" customFormat="1" ht="16.05" customHeight="1">
      <c r="B34" s="16" t="s">
        <v>29</v>
      </c>
      <c r="C34" s="10">
        <f>'1. Dashboard'!C38</f>
        <v>7.5</v>
      </c>
      <c r="D34" s="6">
        <f>'1. Dashboard'!D38</f>
        <v>3.5</v>
      </c>
      <c r="E34" s="35">
        <f>'1. Dashboard'!E38</f>
        <v>2</v>
      </c>
      <c r="F34" s="10">
        <f t="shared" si="3"/>
        <v>2</v>
      </c>
      <c r="G34" s="6">
        <f t="shared" si="1"/>
        <v>0.5</v>
      </c>
      <c r="H34" s="35">
        <f t="shared" si="2"/>
        <v>0.25</v>
      </c>
      <c r="I34" s="10">
        <f t="shared" si="4"/>
        <v>3</v>
      </c>
      <c r="J34" s="9">
        <f t="shared" si="5"/>
        <v>2.5</v>
      </c>
      <c r="K34" s="9">
        <f t="shared" si="6"/>
        <v>1.5</v>
      </c>
      <c r="L34" s="9">
        <f t="shared" si="7"/>
        <v>5</v>
      </c>
      <c r="M34" s="17" t="str" cm="1">
        <f t="array" ref="M34">IF(MAX(F34:L34)&gt;0,INDEX($F$5:$L$5,0,MATCH(MAX(F34:L34),F34:L34,0)),0)</f>
        <v>A, B &amp; C</v>
      </c>
      <c r="N34" s="15" cm="1">
        <f t="array" ref="N34">IF(MAX(F34:L34)&gt;0,INDEX($F$4:$L$4,0,MATCH(MAX(F34:L34),F34:L34,0)),0)</f>
        <v>3</v>
      </c>
      <c r="O34" s="41">
        <f t="shared" si="8"/>
        <v>8</v>
      </c>
      <c r="Q34" s="4"/>
      <c r="R34" s="4"/>
      <c r="S34" s="4"/>
      <c r="T34" s="4"/>
      <c r="U34" s="4"/>
      <c r="V34" s="4"/>
      <c r="W34" s="4"/>
      <c r="X34" s="4"/>
      <c r="Y34" s="4"/>
      <c r="Z34" s="4"/>
      <c r="AA34" s="4"/>
      <c r="AB34" s="4"/>
      <c r="AC34" s="4"/>
      <c r="AD34" s="4"/>
      <c r="AE34" s="4"/>
      <c r="AF34" s="4"/>
      <c r="AG34" s="4"/>
      <c r="AH34" s="4"/>
      <c r="AI34" s="4"/>
      <c r="AJ34" s="4"/>
      <c r="AK34" s="4"/>
    </row>
    <row r="35" spans="2:37" s="1" customFormat="1" ht="16.05" customHeight="1">
      <c r="B35" s="16" t="s">
        <v>30</v>
      </c>
      <c r="C35" s="10">
        <f>'1. Dashboard'!C39</f>
        <v>7</v>
      </c>
      <c r="D35" s="6">
        <f>'1. Dashboard'!D39</f>
        <v>2</v>
      </c>
      <c r="E35" s="35">
        <f>'1. Dashboard'!E39</f>
        <v>1.5</v>
      </c>
      <c r="F35" s="10">
        <f t="shared" si="3"/>
        <v>1.5</v>
      </c>
      <c r="G35" s="6">
        <f t="shared" si="1"/>
        <v>-1</v>
      </c>
      <c r="H35" s="35">
        <f t="shared" si="2"/>
        <v>-0.25</v>
      </c>
      <c r="I35" s="10">
        <f t="shared" si="4"/>
        <v>1</v>
      </c>
      <c r="J35" s="9">
        <f t="shared" si="5"/>
        <v>1.5</v>
      </c>
      <c r="K35" s="9">
        <f t="shared" si="6"/>
        <v>-0.5</v>
      </c>
      <c r="L35" s="9">
        <f t="shared" si="7"/>
        <v>2.5</v>
      </c>
      <c r="M35" s="17" t="str" cm="1">
        <f t="array" ref="M35">IF(MAX(F35:L35)&gt;0,INDEX($F$5:$L$5,0,MATCH(MAX(F35:L35),F35:L35,0)),0)</f>
        <v>A, B &amp; C</v>
      </c>
      <c r="N35" s="15" cm="1">
        <f t="array" ref="N35">IF(MAX(F35:L35)&gt;0,INDEX($F$4:$L$4,0,MATCH(MAX(F35:L35),F35:L35,0)),0)</f>
        <v>3</v>
      </c>
      <c r="O35" s="41">
        <f t="shared" si="8"/>
        <v>8</v>
      </c>
      <c r="Q35" s="4"/>
      <c r="R35" s="4"/>
      <c r="S35" s="4"/>
      <c r="T35" s="4"/>
      <c r="U35" s="4"/>
      <c r="V35" s="4"/>
      <c r="W35" s="4"/>
      <c r="X35" s="4"/>
      <c r="Y35" s="4"/>
      <c r="Z35" s="4"/>
      <c r="AA35" s="4"/>
      <c r="AB35" s="4"/>
      <c r="AC35" s="4"/>
      <c r="AD35" s="4"/>
      <c r="AE35" s="4"/>
      <c r="AF35" s="4"/>
      <c r="AG35" s="4"/>
      <c r="AH35" s="4"/>
      <c r="AI35" s="4"/>
      <c r="AJ35" s="4"/>
      <c r="AK35" s="4"/>
    </row>
    <row r="36" spans="2:37" s="1" customFormat="1" ht="16.05" customHeight="1">
      <c r="B36" s="16" t="s">
        <v>31</v>
      </c>
      <c r="C36" s="36">
        <f>'1. Dashboard'!C40</f>
        <v>5</v>
      </c>
      <c r="D36" s="37">
        <f>'1. Dashboard'!D40</f>
        <v>3</v>
      </c>
      <c r="E36" s="38">
        <f>'1. Dashboard'!E40</f>
        <v>1.5</v>
      </c>
      <c r="F36" s="36">
        <f t="shared" si="3"/>
        <v>-0.5</v>
      </c>
      <c r="G36" s="37">
        <f t="shared" si="1"/>
        <v>0</v>
      </c>
      <c r="H36" s="38">
        <f t="shared" si="2"/>
        <v>-0.25</v>
      </c>
      <c r="I36" s="10">
        <f t="shared" si="4"/>
        <v>0</v>
      </c>
      <c r="J36" s="9">
        <f t="shared" si="5"/>
        <v>-0.5</v>
      </c>
      <c r="K36" s="9">
        <f t="shared" si="6"/>
        <v>0.5</v>
      </c>
      <c r="L36" s="9">
        <f t="shared" si="7"/>
        <v>1.5</v>
      </c>
      <c r="M36" s="17" t="str" cm="1">
        <f t="array" ref="M36">IF(MAX(F36:L36)&gt;0,INDEX($F$5:$L$5,0,MATCH(MAX(F36:L36),F36:L36,0)),0)</f>
        <v>A, B &amp; C</v>
      </c>
      <c r="N36" s="15" cm="1">
        <f t="array" ref="N36">IF(MAX(F36:L36)&gt;0,INDEX($F$4:$L$4,0,MATCH(MAX(F36:L36),F36:L36,0)),0)</f>
        <v>3</v>
      </c>
      <c r="O36" s="41">
        <f t="shared" si="8"/>
        <v>8</v>
      </c>
      <c r="Q36" s="4"/>
      <c r="R36" s="4"/>
      <c r="S36" s="4"/>
      <c r="T36" s="4"/>
      <c r="U36" s="4"/>
      <c r="V36" s="4"/>
      <c r="W36" s="4"/>
      <c r="X36" s="4"/>
      <c r="Y36" s="4"/>
      <c r="Z36" s="4"/>
      <c r="AA36" s="4"/>
      <c r="AB36" s="4"/>
      <c r="AC36" s="4"/>
      <c r="AD36" s="4"/>
      <c r="AE36" s="4"/>
      <c r="AF36" s="4"/>
      <c r="AG36" s="4"/>
      <c r="AH36" s="4"/>
      <c r="AI36" s="4"/>
      <c r="AJ36" s="4"/>
      <c r="AK36" s="4"/>
    </row>
    <row r="37" spans="2:37" s="1" customFormat="1" ht="16.05" customHeight="1" thickBot="1">
      <c r="B37" s="11" t="s">
        <v>33</v>
      </c>
      <c r="C37" s="13"/>
      <c r="D37" s="12"/>
      <c r="E37" s="12"/>
      <c r="F37" s="31"/>
      <c r="G37" s="32"/>
      <c r="H37" s="32"/>
      <c r="I37" s="31"/>
      <c r="J37" s="32"/>
      <c r="K37" s="32"/>
      <c r="L37" s="14"/>
      <c r="M37" s="39"/>
      <c r="N37" s="61">
        <f>SUM(N7:N36)</f>
        <v>68</v>
      </c>
      <c r="O37" s="40">
        <f>SUM(O7:O36)</f>
        <v>185.75</v>
      </c>
      <c r="Q37" s="4"/>
      <c r="R37" s="4"/>
      <c r="S37" s="4"/>
      <c r="T37" s="4"/>
      <c r="U37" s="4"/>
      <c r="V37" s="4"/>
      <c r="W37" s="4"/>
      <c r="X37" s="4"/>
      <c r="Y37" s="4"/>
      <c r="Z37" s="4"/>
      <c r="AA37" s="4"/>
      <c r="AB37" s="4"/>
      <c r="AC37" s="4"/>
      <c r="AD37" s="4"/>
      <c r="AE37" s="4"/>
      <c r="AF37" s="4"/>
      <c r="AG37" s="4"/>
      <c r="AH37" s="4"/>
      <c r="AI37" s="4"/>
      <c r="AJ37" s="4"/>
      <c r="AK37" s="4"/>
    </row>
    <row r="38" spans="2:37" s="1" customFormat="1" ht="16.05" customHeight="1">
      <c r="B38" s="8"/>
      <c r="C38" s="8"/>
      <c r="M38" s="15"/>
      <c r="N38" s="15"/>
      <c r="O38" s="15"/>
      <c r="Q38" s="4"/>
      <c r="R38" s="4"/>
      <c r="S38" s="4"/>
      <c r="T38" s="4"/>
      <c r="U38" s="4"/>
      <c r="V38" s="4"/>
      <c r="W38" s="4"/>
      <c r="X38" s="4"/>
      <c r="Y38" s="4"/>
      <c r="Z38" s="4"/>
      <c r="AA38" s="4"/>
      <c r="AB38" s="4"/>
      <c r="AC38" s="4"/>
      <c r="AD38" s="4"/>
      <c r="AE38" s="4"/>
      <c r="AF38" s="4"/>
      <c r="AG38" s="4"/>
      <c r="AH38" s="4"/>
      <c r="AI38" s="4"/>
      <c r="AJ38" s="4"/>
      <c r="AK38" s="4"/>
    </row>
    <row r="39" spans="2:37" s="1" customFormat="1" ht="16.05" customHeight="1">
      <c r="B39" s="8"/>
      <c r="C39" s="8"/>
      <c r="M39" s="15"/>
      <c r="N39" s="15"/>
      <c r="O39" s="15"/>
      <c r="Q39" s="4"/>
      <c r="R39" s="4"/>
      <c r="S39" s="4"/>
      <c r="T39" s="4"/>
      <c r="U39" s="4"/>
      <c r="V39" s="4"/>
      <c r="W39" s="4"/>
      <c r="X39" s="4"/>
      <c r="Y39" s="4"/>
      <c r="Z39" s="4"/>
      <c r="AA39" s="4"/>
      <c r="AB39" s="4"/>
      <c r="AC39" s="4"/>
      <c r="AD39" s="4"/>
      <c r="AE39" s="4"/>
      <c r="AF39" s="4"/>
      <c r="AG39" s="4"/>
      <c r="AH39" s="4"/>
      <c r="AI39" s="4"/>
      <c r="AJ39" s="4"/>
      <c r="AK39" s="4"/>
    </row>
    <row r="40" spans="2:37" s="1" customFormat="1" ht="16.05" customHeight="1">
      <c r="B40" s="8"/>
      <c r="C40" s="8"/>
      <c r="M40" s="15"/>
      <c r="N40" s="15"/>
      <c r="O40" s="15"/>
      <c r="Q40" s="4"/>
      <c r="R40" s="4"/>
      <c r="S40" s="4"/>
      <c r="T40" s="4"/>
      <c r="U40" s="4"/>
      <c r="V40" s="4"/>
      <c r="W40" s="4"/>
      <c r="X40" s="4"/>
      <c r="Y40" s="4"/>
      <c r="Z40" s="4"/>
      <c r="AA40" s="4"/>
      <c r="AB40" s="4"/>
      <c r="AC40" s="4"/>
      <c r="AD40" s="4"/>
      <c r="AE40" s="4"/>
      <c r="AF40" s="4"/>
      <c r="AG40" s="4"/>
      <c r="AH40" s="4"/>
      <c r="AI40" s="4"/>
      <c r="AJ40" s="4"/>
      <c r="AK40" s="4"/>
    </row>
    <row r="41" spans="2:37" s="1" customFormat="1" ht="16.05" customHeight="1">
      <c r="B41" s="8"/>
      <c r="M41" s="15"/>
      <c r="N41" s="15"/>
      <c r="O41" s="15"/>
      <c r="Q41" s="4"/>
      <c r="R41" s="4"/>
      <c r="S41" s="4"/>
      <c r="T41" s="4"/>
      <c r="U41" s="4"/>
      <c r="V41" s="4"/>
      <c r="W41" s="4"/>
      <c r="X41" s="4"/>
      <c r="Y41" s="4"/>
      <c r="Z41" s="4"/>
      <c r="AA41" s="4"/>
      <c r="AB41" s="4"/>
      <c r="AC41" s="4"/>
      <c r="AD41" s="4"/>
      <c r="AE41" s="4"/>
      <c r="AF41" s="4"/>
      <c r="AG41" s="4"/>
      <c r="AH41" s="4"/>
      <c r="AI41" s="4"/>
      <c r="AJ41" s="4"/>
      <c r="AK41" s="4"/>
    </row>
    <row r="42" spans="2:37" s="1" customFormat="1" ht="16.05" customHeight="1">
      <c r="B42" s="8"/>
      <c r="M42" s="15"/>
      <c r="N42" s="15"/>
      <c r="O42" s="15"/>
      <c r="Q42" s="4"/>
      <c r="R42" s="4"/>
      <c r="S42" s="4"/>
      <c r="T42" s="4"/>
      <c r="U42" s="4"/>
      <c r="V42" s="4"/>
      <c r="W42" s="4"/>
      <c r="X42" s="4"/>
      <c r="Y42" s="4"/>
      <c r="Z42" s="4"/>
      <c r="AA42" s="4"/>
      <c r="AB42" s="4"/>
      <c r="AC42" s="4"/>
      <c r="AD42" s="4"/>
      <c r="AE42" s="4"/>
      <c r="AF42" s="4"/>
      <c r="AG42" s="4"/>
      <c r="AH42" s="4"/>
      <c r="AI42" s="4"/>
      <c r="AJ42" s="4"/>
      <c r="AK42" s="4"/>
    </row>
    <row r="43" spans="2:37" s="1" customFormat="1" ht="16.05" customHeight="1">
      <c r="B43" s="8"/>
      <c r="M43" s="15"/>
      <c r="N43" s="15"/>
      <c r="O43" s="15"/>
      <c r="Q43" s="4"/>
      <c r="R43" s="4"/>
      <c r="S43" s="4"/>
      <c r="T43" s="4"/>
      <c r="U43" s="4"/>
      <c r="V43" s="4"/>
      <c r="W43" s="4"/>
      <c r="X43" s="4"/>
      <c r="Y43" s="4"/>
      <c r="Z43" s="4"/>
      <c r="AA43" s="4"/>
      <c r="AB43" s="4"/>
      <c r="AC43" s="4"/>
      <c r="AD43" s="4"/>
      <c r="AE43" s="4"/>
      <c r="AF43" s="4"/>
      <c r="AG43" s="4"/>
      <c r="AH43" s="4"/>
      <c r="AI43" s="4"/>
      <c r="AJ43" s="4"/>
      <c r="AK43" s="4"/>
    </row>
    <row r="56" spans="13:37" s="1" customFormat="1" ht="16.05" customHeight="1">
      <c r="M56" s="15"/>
      <c r="N56" s="15"/>
      <c r="O56" s="15"/>
      <c r="Q56" s="4"/>
      <c r="R56" s="4"/>
      <c r="S56" s="4"/>
      <c r="T56" s="4"/>
      <c r="U56" s="4"/>
      <c r="V56" s="4"/>
      <c r="W56" s="4"/>
      <c r="X56" s="4"/>
      <c r="Y56" s="4"/>
      <c r="Z56" s="4"/>
      <c r="AA56" s="4"/>
      <c r="AB56" s="4"/>
      <c r="AC56" s="4"/>
      <c r="AD56" s="4"/>
      <c r="AE56" s="4"/>
      <c r="AF56" s="4"/>
      <c r="AG56" s="4"/>
      <c r="AH56" s="4"/>
      <c r="AI56" s="4"/>
      <c r="AJ56" s="4"/>
      <c r="AK56" s="4"/>
    </row>
  </sheetData>
  <mergeCells count="2">
    <mergeCell ref="J3:K3"/>
    <mergeCell ref="M3:O3"/>
  </mergeCells>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0. Document Details</vt:lpstr>
      <vt:lpstr>1. Dashboard</vt:lpstr>
      <vt:lpstr>Calculations →</vt:lpstr>
      <vt:lpstr>2. Individual Revenue</vt:lpstr>
      <vt:lpstr>3. Bundle Revenue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Jaibeer Singh</cp:lastModifiedBy>
  <dcterms:created xsi:type="dcterms:W3CDTF">2022-08-21T05:18:25Z</dcterms:created>
  <dcterms:modified xsi:type="dcterms:W3CDTF">2024-05-11T02:54:03Z</dcterms:modified>
</cp:coreProperties>
</file>
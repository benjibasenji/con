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api.box.com/wopi/files/1527228198345/WOPIServiceId_TP_BOX_2/WOPIUserId_-/"/>
    </mc:Choice>
  </mc:AlternateContent>
  <xr:revisionPtr revIDLastSave="2" documentId="13_ncr:1_{FC796BF2-5781-394B-B795-16B6A5C14CFF}" xr6:coauthVersionLast="47" xr6:coauthVersionMax="47" xr10:uidLastSave="{34869D4F-AEA9-4F37-A36D-0C6D5C47BE1B}"/>
  <bookViews>
    <workbookView xWindow="-108" yWindow="-108" windowWidth="23256" windowHeight="13896" activeTab="2" xr2:uid="{5CD4C015-C755-A847-BF74-056123C85707}"/>
  </bookViews>
  <sheets>
    <sheet name="0. Document Details" sheetId="1" r:id="rId1"/>
    <sheet name="1. Checklist" sheetId="2" r:id="rId2"/>
    <sheet name="2. Project Plan" sheetId="3" r:id="rId3"/>
    <sheet name="3. Change Requests" sheetId="4" r:id="rId4"/>
    <sheet name="4. Key Stakeholders" sheetId="5" r:id="rId5"/>
    <sheet name="5. Budget" sheetId="6" r:id="rId6"/>
    <sheet name="6. Risks &amp; Issues" sheetId="7" r:id="rId7"/>
    <sheet name="7. Timeline" sheetId="8" r:id="rId8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B2" i="8"/>
  <c r="B2" i="6"/>
  <c r="B2" i="7"/>
  <c r="B2" i="5"/>
  <c r="B2" i="4"/>
  <c r="P13" i="6"/>
  <c r="P12" i="6"/>
  <c r="P11" i="6"/>
  <c r="P10" i="6"/>
  <c r="P9" i="6"/>
  <c r="P8" i="6"/>
  <c r="P7" i="6"/>
  <c r="E6" i="6"/>
  <c r="E14" i="6" s="1"/>
  <c r="C14" i="6"/>
  <c r="C15" i="6" s="1"/>
  <c r="C16" i="6" s="1"/>
  <c r="D14" i="6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F6" i="6" l="1"/>
  <c r="G6" i="6" s="1"/>
  <c r="H6" i="6" s="1"/>
  <c r="F14" i="6"/>
  <c r="H14" i="6"/>
  <c r="H15" i="6" s="1"/>
  <c r="I6" i="6"/>
  <c r="J6" i="6" s="1"/>
  <c r="K6" i="6" s="1"/>
  <c r="L6" i="6" s="1"/>
  <c r="E15" i="6"/>
  <c r="G14" i="6"/>
  <c r="G15" i="6" s="1"/>
  <c r="D15" i="6"/>
  <c r="D16" i="6" s="1"/>
  <c r="K14" i="6" l="1"/>
  <c r="K15" i="6" s="1"/>
  <c r="J14" i="6"/>
  <c r="J15" i="6" s="1"/>
  <c r="I14" i="6"/>
  <c r="I15" i="6" s="1"/>
  <c r="F15" i="6"/>
  <c r="L14" i="6"/>
  <c r="L15" i="6" s="1"/>
  <c r="M6" i="6"/>
  <c r="E16" i="6"/>
  <c r="F16" i="6" l="1"/>
  <c r="G16" i="6" s="1"/>
  <c r="H16" i="6" s="1"/>
  <c r="I16" i="6" s="1"/>
  <c r="J16" i="6" s="1"/>
  <c r="K16" i="6" s="1"/>
  <c r="L16" i="6" s="1"/>
  <c r="N6" i="6"/>
  <c r="M14" i="6"/>
  <c r="M15" i="6" s="1"/>
  <c r="O6" i="6" l="1"/>
  <c r="N14" i="6"/>
  <c r="N15" i="6" s="1"/>
  <c r="M16" i="6"/>
  <c r="N16" i="6" s="1"/>
  <c r="O14" i="6" l="1"/>
  <c r="O15" i="6" s="1"/>
  <c r="P15" i="6" s="1"/>
  <c r="P6" i="6"/>
  <c r="O16" i="6"/>
  <c r="P16" i="6" s="1"/>
  <c r="P14" i="6"/>
</calcChain>
</file>

<file path=xl/sharedStrings.xml><?xml version="1.0" encoding="utf-8"?>
<sst xmlns="http://schemas.openxmlformats.org/spreadsheetml/2006/main" count="237" uniqueCount="136">
  <si>
    <t>Project Management Tasks</t>
  </si>
  <si>
    <t>Task</t>
  </si>
  <si>
    <t>Frequency During Project</t>
  </si>
  <si>
    <t>Current Status</t>
  </si>
  <si>
    <t>Completion Date</t>
  </si>
  <si>
    <t>Informed</t>
  </si>
  <si>
    <t>Once</t>
  </si>
  <si>
    <t>Complete Project Plan (tab 2)</t>
  </si>
  <si>
    <t>Complete Stakeholder Register (tab 4, table 1)</t>
  </si>
  <si>
    <t>Delineate project tasks (tab 4, column L6:30)</t>
  </si>
  <si>
    <t>Complete RACI (tab 4, table 2)</t>
  </si>
  <si>
    <t>Define project scope</t>
  </si>
  <si>
    <t>Weekly (Mondays)</t>
  </si>
  <si>
    <t>Project Plan</t>
  </si>
  <si>
    <t>1. Key Project Details</t>
  </si>
  <si>
    <t>2. Project Description</t>
  </si>
  <si>
    <t>Proposed Project Name</t>
  </si>
  <si>
    <t>Project Description:</t>
  </si>
  <si>
    <t xml:space="preserve">Project Identification </t>
  </si>
  <si>
    <t>Name of Requestor</t>
  </si>
  <si>
    <t>Project Manager Assigned</t>
  </si>
  <si>
    <t>Date of Initiation</t>
  </si>
  <si>
    <t>Expected Benefits:</t>
  </si>
  <si>
    <t>Name of Sponsor</t>
  </si>
  <si>
    <t>Department of Sponsor</t>
  </si>
  <si>
    <t>Estimated Budget:</t>
  </si>
  <si>
    <t>Funding Source:</t>
  </si>
  <si>
    <t>3. Project Scope</t>
  </si>
  <si>
    <t>4. Schedule and Milestones</t>
  </si>
  <si>
    <t>Soonest Possible Start:</t>
  </si>
  <si>
    <t>Soonest Possible End:</t>
  </si>
  <si>
    <t>Latest Possible Start:</t>
  </si>
  <si>
    <t>Latest Possible End:</t>
  </si>
  <si>
    <t>Milestone</t>
  </si>
  <si>
    <t>Planned Start</t>
  </si>
  <si>
    <t>Actual Start</t>
  </si>
  <si>
    <t>5. Risks of Proposed Project (if applicable)</t>
  </si>
  <si>
    <t>6. Completion Criteria</t>
  </si>
  <si>
    <t>3.1 Inclusions</t>
  </si>
  <si>
    <t>3.2 Exclusions</t>
  </si>
  <si>
    <t>4.1 Project Timeline</t>
  </si>
  <si>
    <t>4.2 Key Milestones</t>
  </si>
  <si>
    <t>Planned End</t>
  </si>
  <si>
    <t>Actual End</t>
  </si>
  <si>
    <t>5.1 Known Risks</t>
  </si>
  <si>
    <t>Requested By</t>
  </si>
  <si>
    <t>Description of Change</t>
  </si>
  <si>
    <t xml:space="preserve">Reason for Change </t>
  </si>
  <si>
    <t>Type of Change</t>
  </si>
  <si>
    <t>Approved?</t>
  </si>
  <si>
    <t>Date Approved</t>
  </si>
  <si>
    <t>Approved By</t>
  </si>
  <si>
    <t>Next Steps</t>
  </si>
  <si>
    <t>Additional Comments</t>
  </si>
  <si>
    <t>Date</t>
  </si>
  <si>
    <t>1. Key Project Stakeholders</t>
  </si>
  <si>
    <t>2. RACI</t>
  </si>
  <si>
    <t>Relationship/Relevance to Project</t>
  </si>
  <si>
    <t>Project Tasks</t>
  </si>
  <si>
    <t>I</t>
  </si>
  <si>
    <t>AR</t>
  </si>
  <si>
    <t>R</t>
  </si>
  <si>
    <t>C</t>
  </si>
  <si>
    <t>A</t>
  </si>
  <si>
    <t>2.2 Core Project Team</t>
  </si>
  <si>
    <t>Project Role/Responsibility</t>
  </si>
  <si>
    <t>Relation to Project</t>
  </si>
  <si>
    <t>Name</t>
  </si>
  <si>
    <t>Role</t>
  </si>
  <si>
    <t>2.3 Other</t>
  </si>
  <si>
    <t>2.1 Project Stakeholders</t>
  </si>
  <si>
    <t>Project Budget</t>
  </si>
  <si>
    <t>Year 1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</si>
  <si>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</si>
  <si>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</si>
  <si>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</si>
  <si>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</si>
  <si>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</si>
  <si>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</si>
  <si>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</si>
  <si>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</si>
  <si>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</si>
  <si>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</si>
  <si>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</si>
  <si>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</si>
  <si>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Total</t>
  </si>
  <si>
    <t>Contingency (10%)</t>
  </si>
  <si>
    <t>Budgeted Monthly Spend</t>
  </si>
  <si>
    <t>Budgeted Cumulative Spend</t>
  </si>
  <si>
    <t>Starting Point</t>
  </si>
  <si>
    <t>Example Project</t>
  </si>
  <si>
    <t>R/I</t>
  </si>
  <si>
    <t>Description of Issue/Risk</t>
  </si>
  <si>
    <t>Impact</t>
  </si>
  <si>
    <t>Description of Impact on Project</t>
  </si>
  <si>
    <t>Resolution/Mitigation Plan</t>
  </si>
  <si>
    <t>Assigned To</t>
  </si>
  <si>
    <t>Reported By</t>
  </si>
  <si>
    <t>Comments</t>
  </si>
  <si>
    <t>Risk 1</t>
  </si>
  <si>
    <t>Low</t>
  </si>
  <si>
    <t>Very High</t>
  </si>
  <si>
    <t>Issue 1</t>
  </si>
  <si>
    <t>Medium</t>
  </si>
  <si>
    <t>High</t>
  </si>
  <si>
    <t xml:space="preserve"> </t>
  </si>
  <si>
    <t>Risk 2</t>
  </si>
  <si>
    <t>Issue 2</t>
  </si>
  <si>
    <t>Risk 3</t>
  </si>
  <si>
    <t>Likelihood</t>
  </si>
  <si>
    <t>Effort</t>
  </si>
  <si>
    <t>Complete Budget (tab 5)</t>
  </si>
  <si>
    <t>Document and update risks and issues (tab 6)</t>
  </si>
  <si>
    <t>Phase 1: Describe phase here</t>
  </si>
  <si>
    <t>Phase 2: Describe phase here</t>
  </si>
  <si>
    <t>Phase 3: Describe phase here</t>
  </si>
  <si>
    <t>Owner</t>
  </si>
  <si>
    <t>Due Date</t>
  </si>
  <si>
    <t>Status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</si>
  <si>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</si>
  <si>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</si>
  <si>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</si>
  <si>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</si>
  <si>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</si>
  <si>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</si>
  <si>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</si>
  <si>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</si>
  <si>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</si>
  <si>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Wk10</t>
  </si>
  <si>
    <t>Document owner</t>
  </si>
  <si>
    <t>Last updated</t>
  </si>
  <si>
    <t>Document version</t>
  </si>
  <si>
    <t>1.0</t>
  </si>
  <si>
    <t>Joe Bloggs</t>
  </si>
  <si>
    <t>Document details</t>
  </si>
  <si>
    <t>Project Plan Template 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</si>
</sst>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5" formatCode="_(* #,##0.00_);_(* \(#,##0.00\);_(* &quot;-&quot;??_);_(@_)"/>
    <numFmt numFmtId="166" formatCode="[$-1009]d\-mmm\-yy;@"/>
    <numFmt numFmtId="167" formatCode="_(* #,##0_);_(* \(#,##0\);_(* &quot;-&quot;??_);_(@_)"/>
    <numFmt numFmtId="168" formatCode="mm/dd/yy"/>
  </numFmts>
  <fonts count="15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b/>
      <sz val="12"/>
      <color theme="0"/>
      <name val="Arial (Body)"/>
    </font>
    <font>
      <sz val="12"/>
      <name val="Arial (Body)"/>
    </font>
    <font>
      <sz val="12"/>
      <color theme="1"/>
      <name val="Arial (Body)"/>
    </font>
    <font>
      <b/>
      <sz val="12"/>
      <name val="Arial (Body)"/>
    </font>
    <font>
      <sz val="12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  <scheme val="minor"/>
    </font>
    <font>
      <b/>
      <sz val="12"/>
      <color theme="1"/>
      <name val="Arial (Body)"/>
    </font>
    <font>
      <sz val="8"/>
      <name val="Arial"/>
      <family val="2"/>
      <scheme val="minor"/>
    </font>
    <font>
      <b/>
      <sz val="2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3" borderId="0"/>
    <xf numFmtId="165" fontId="1" fillId="0" borderId="0" applyFont="0" applyFill="0" applyBorder="0" applyAlignment="0" applyProtection="0"/>
    <xf numFmtId="0" fontId="3" fillId="3" borderId="0"/>
    <xf numFmtId="0" fontId="3" fillId="0" borderId="0"/>
  </cellStyleXfs>
  <cellXfs count="197">
    <xf numFmtId="0" fontId="0" fillId="3" borderId="0" xfId="0"/>
    <xf numFmtId="0" fontId="5" fillId="3" borderId="0" xfId="2" applyFont="1"/>
    <xf numFmtId="0" fontId="6" fillId="3" borderId="0" xfId="0" applyFont="1"/>
    <xf numFmtId="166" fontId="5" fillId="3" borderId="5" xfId="2" applyNumberFormat="1" applyFont="1" applyBorder="1" applyAlignment="1">
      <alignment horizontal="center" vertical="center"/>
    </xf>
    <xf numFmtId="14" fontId="5" fillId="3" borderId="5" xfId="2" applyNumberFormat="1" applyFont="1" applyBorder="1" applyAlignment="1">
      <alignment horizontal="center" vertical="center"/>
    </xf>
    <xf numFmtId="0" fontId="5" fillId="3" borderId="6" xfId="2" applyFont="1" applyBorder="1" applyAlignment="1">
      <alignment horizontal="center" vertical="center" wrapText="1"/>
    </xf>
    <xf numFmtId="0" fontId="5" fillId="3" borderId="0" xfId="2" applyFont="1" applyAlignment="1">
      <alignment vertical="center"/>
    </xf>
    <xf numFmtId="166" fontId="5" fillId="3" borderId="8" xfId="2" applyNumberFormat="1" applyFont="1" applyBorder="1" applyAlignment="1">
      <alignment horizontal="center" vertical="center"/>
    </xf>
    <xf numFmtId="14" fontId="5" fillId="3" borderId="8" xfId="2" applyNumberFormat="1" applyFont="1" applyBorder="1" applyAlignment="1">
      <alignment horizontal="center" vertical="center"/>
    </xf>
    <xf numFmtId="0" fontId="5" fillId="3" borderId="10" xfId="2" applyFont="1" applyBorder="1" applyAlignment="1">
      <alignment horizontal="center" vertical="center" wrapText="1"/>
    </xf>
    <xf numFmtId="166" fontId="5" fillId="3" borderId="9" xfId="2" applyNumberFormat="1" applyFont="1" applyBorder="1" applyAlignment="1">
      <alignment horizontal="center" vertical="center"/>
    </xf>
    <xf numFmtId="14" fontId="5" fillId="3" borderId="9" xfId="2" applyNumberFormat="1" applyFont="1" applyBorder="1" applyAlignment="1">
      <alignment horizontal="center" vertical="center"/>
    </xf>
    <xf numFmtId="0" fontId="5" fillId="3" borderId="12" xfId="2" applyFont="1" applyBorder="1" applyAlignment="1">
      <alignment horizontal="center" vertical="center" wrapText="1"/>
    </xf>
    <xf numFmtId="0" fontId="8" fillId="3" borderId="0" xfId="2" applyFont="1"/>
    <xf numFmtId="0" fontId="8" fillId="4" borderId="0" xfId="2" applyFont="1" applyFill="1"/>
    <xf numFmtId="0" fontId="9" fillId="4" borderId="0" xfId="2" applyFont="1" applyFill="1" applyAlignment="1">
      <alignment horizontal="left" vertical="center"/>
    </xf>
    <xf numFmtId="0" fontId="8" fillId="3" borderId="5" xfId="2" applyFont="1" applyBorder="1" applyAlignment="1">
      <alignment horizontal="left" vertical="center" wrapText="1"/>
    </xf>
    <xf numFmtId="0" fontId="8" fillId="3" borderId="6" xfId="2" applyFont="1" applyBorder="1" applyAlignment="1">
      <alignment horizontal="left" vertical="center" wrapText="1"/>
    </xf>
    <xf numFmtId="14" fontId="8" fillId="3" borderId="6" xfId="2" applyNumberFormat="1" applyFont="1" applyBorder="1" applyAlignment="1">
      <alignment horizontal="left" vertical="center" wrapText="1"/>
    </xf>
    <xf numFmtId="0" fontId="8" fillId="3" borderId="9" xfId="2" applyFont="1" applyBorder="1" applyAlignment="1">
      <alignment horizontal="left" vertical="center" wrapText="1"/>
    </xf>
    <xf numFmtId="0" fontId="8" fillId="3" borderId="12" xfId="2" applyFont="1" applyBorder="1" applyAlignment="1">
      <alignment horizontal="left" vertical="center" wrapText="1"/>
    </xf>
    <xf numFmtId="164" fontId="8" fillId="3" borderId="9" xfId="2" applyNumberFormat="1" applyFont="1" applyBorder="1" applyAlignment="1">
      <alignment horizontal="left" vertical="center" wrapText="1"/>
    </xf>
    <xf numFmtId="0" fontId="8" fillId="3" borderId="5" xfId="2" applyFont="1" applyBorder="1"/>
    <xf numFmtId="0" fontId="8" fillId="3" borderId="14" xfId="2" applyFont="1" applyBorder="1"/>
    <xf numFmtId="0" fontId="8" fillId="3" borderId="6" xfId="2" applyFont="1" applyBorder="1"/>
    <xf numFmtId="0" fontId="8" fillId="3" borderId="9" xfId="2" applyFont="1" applyBorder="1"/>
    <xf numFmtId="0" fontId="8" fillId="3" borderId="17" xfId="2" applyFont="1" applyBorder="1"/>
    <xf numFmtId="0" fontId="8" fillId="3" borderId="12" xfId="2" applyFont="1" applyBorder="1"/>
    <xf numFmtId="0" fontId="7" fillId="6" borderId="4" xfId="2" applyFont="1" applyFill="1" applyBorder="1" applyAlignment="1">
      <alignment horizontal="center" vertical="center"/>
    </xf>
    <xf numFmtId="0" fontId="5" fillId="6" borderId="5" xfId="2" applyFont="1" applyFill="1" applyBorder="1" applyAlignment="1">
      <alignment horizontal="left" vertical="center" wrapText="1"/>
    </xf>
    <xf numFmtId="0" fontId="7" fillId="6" borderId="7" xfId="2" applyFont="1" applyFill="1" applyBorder="1" applyAlignment="1">
      <alignment horizontal="center" vertical="center"/>
    </xf>
    <xf numFmtId="0" fontId="5" fillId="6" borderId="8" xfId="2" applyFont="1" applyFill="1" applyBorder="1" applyAlignment="1">
      <alignment horizontal="left" vertical="center" wrapText="1"/>
    </xf>
    <xf numFmtId="0" fontId="7" fillId="6" borderId="11" xfId="2" applyFont="1" applyFill="1" applyBorder="1" applyAlignment="1">
      <alignment horizontal="center" vertical="center"/>
    </xf>
    <xf numFmtId="0" fontId="5" fillId="6" borderId="9" xfId="2" applyFont="1" applyFill="1" applyBorder="1" applyAlignment="1">
      <alignment horizontal="left" vertical="center" wrapText="1"/>
    </xf>
    <xf numFmtId="0" fontId="8" fillId="6" borderId="4" xfId="2" applyFont="1" applyFill="1" applyBorder="1" applyAlignment="1">
      <alignment horizontal="right" vertical="center" wrapText="1"/>
    </xf>
    <xf numFmtId="0" fontId="10" fillId="6" borderId="5" xfId="2" applyFont="1" applyFill="1" applyBorder="1" applyAlignment="1">
      <alignment horizontal="center" vertical="center" wrapText="1"/>
    </xf>
    <xf numFmtId="0" fontId="10" fillId="6" borderId="14" xfId="2" applyFont="1" applyFill="1" applyBorder="1" applyAlignment="1">
      <alignment horizontal="center" vertical="center" wrapText="1"/>
    </xf>
    <xf numFmtId="0" fontId="10" fillId="6" borderId="6" xfId="2" applyFont="1" applyFill="1" applyBorder="1" applyAlignment="1">
      <alignment horizontal="center" vertical="center" wrapText="1"/>
    </xf>
    <xf numFmtId="14" fontId="8" fillId="3" borderId="4" xfId="2" applyNumberFormat="1" applyFont="1" applyBorder="1" applyAlignment="1">
      <alignment horizontal="left" vertical="center" wrapText="1"/>
    </xf>
    <xf numFmtId="0" fontId="8" fillId="3" borderId="5" xfId="2" applyFont="1" applyBorder="1" applyAlignment="1">
      <alignment horizontal="center" vertical="center" wrapText="1"/>
    </xf>
    <xf numFmtId="14" fontId="8" fillId="3" borderId="21" xfId="2" applyNumberFormat="1" applyFont="1" applyBorder="1" applyAlignment="1">
      <alignment horizontal="left" vertical="center" wrapText="1"/>
    </xf>
    <xf numFmtId="14" fontId="8" fillId="3" borderId="11" xfId="2" applyNumberFormat="1" applyFont="1" applyBorder="1" applyAlignment="1">
      <alignment horizontal="left" vertical="center" wrapText="1"/>
    </xf>
    <xf numFmtId="0" fontId="8" fillId="3" borderId="9" xfId="2" applyFont="1" applyBorder="1" applyAlignment="1">
      <alignment horizontal="center" vertical="center" wrapText="1"/>
    </xf>
    <xf numFmtId="0" fontId="8" fillId="3" borderId="0" xfId="2" applyFont="1" applyAlignment="1">
      <alignment vertical="center"/>
    </xf>
    <xf numFmtId="0" fontId="8" fillId="4" borderId="5" xfId="2" applyFont="1" applyFill="1" applyBorder="1" applyAlignment="1" applyProtection="1">
      <alignment horizontal="center" vertical="center"/>
      <protection locked="0"/>
    </xf>
    <xf numFmtId="0" fontId="8" fillId="4" borderId="6" xfId="2" applyFont="1" applyFill="1" applyBorder="1" applyAlignment="1" applyProtection="1">
      <alignment horizontal="center" vertical="center"/>
      <protection locked="0"/>
    </xf>
    <xf numFmtId="0" fontId="8" fillId="4" borderId="9" xfId="2" applyFont="1" applyFill="1" applyBorder="1" applyAlignment="1" applyProtection="1">
      <alignment horizontal="center" vertical="center"/>
      <protection locked="0"/>
    </xf>
    <xf numFmtId="0" fontId="8" fillId="4" borderId="12" xfId="2" applyFont="1" applyFill="1" applyBorder="1" applyAlignment="1" applyProtection="1">
      <alignment horizontal="center" vertical="center"/>
      <protection locked="0"/>
    </xf>
    <xf numFmtId="0" fontId="8" fillId="3" borderId="0" xfId="2" applyFont="1" applyAlignment="1">
      <alignment horizontal="left"/>
    </xf>
    <xf numFmtId="0" fontId="8" fillId="3" borderId="20" xfId="2" applyFont="1" applyBorder="1" applyAlignment="1" applyProtection="1">
      <alignment horizontal="left" vertical="center"/>
      <protection locked="0"/>
    </xf>
    <xf numFmtId="0" fontId="11" fillId="2" borderId="20" xfId="0" applyFont="1" applyFill="1" applyBorder="1" applyAlignment="1" applyProtection="1">
      <alignment horizontal="left" vertical="center"/>
      <protection locked="0"/>
    </xf>
    <xf numFmtId="0" fontId="8" fillId="3" borderId="6" xfId="2" applyFont="1" applyBorder="1" applyAlignment="1" applyProtection="1">
      <alignment vertical="center"/>
      <protection locked="0"/>
    </xf>
    <xf numFmtId="0" fontId="8" fillId="3" borderId="12" xfId="2" applyFont="1" applyBorder="1" applyAlignment="1" applyProtection="1">
      <alignment vertical="center"/>
      <protection locked="0"/>
    </xf>
    <xf numFmtId="0" fontId="11" fillId="2" borderId="11" xfId="0" applyFont="1" applyFill="1" applyBorder="1" applyAlignment="1" applyProtection="1">
      <alignment horizontal="left" vertical="center"/>
      <protection locked="0"/>
    </xf>
    <xf numFmtId="0" fontId="8" fillId="6" borderId="4" xfId="2" applyFont="1" applyFill="1" applyBorder="1" applyAlignment="1" applyProtection="1">
      <alignment vertical="center"/>
      <protection locked="0"/>
    </xf>
    <xf numFmtId="0" fontId="8" fillId="6" borderId="11" xfId="2" applyFont="1" applyFill="1" applyBorder="1" applyAlignment="1" applyProtection="1">
      <alignment vertical="center"/>
      <protection locked="0"/>
    </xf>
    <xf numFmtId="0" fontId="5" fillId="4" borderId="0" xfId="2" applyFont="1" applyFill="1" applyAlignment="1">
      <alignment vertical="center"/>
    </xf>
    <xf numFmtId="0" fontId="6" fillId="3" borderId="0" xfId="0" applyFont="1" applyAlignment="1">
      <alignment vertical="center"/>
    </xf>
    <xf numFmtId="0" fontId="6" fillId="3" borderId="4" xfId="0" applyFont="1" applyBorder="1" applyAlignment="1">
      <alignment vertical="center" wrapText="1"/>
    </xf>
    <xf numFmtId="167" fontId="6" fillId="0" borderId="5" xfId="1" applyNumberFormat="1" applyFont="1" applyBorder="1" applyAlignment="1">
      <alignment vertical="center" wrapText="1"/>
    </xf>
    <xf numFmtId="167" fontId="6" fillId="6" borderId="6" xfId="1" applyNumberFormat="1" applyFont="1" applyFill="1" applyBorder="1" applyAlignment="1">
      <alignment vertical="center" wrapText="1"/>
    </xf>
    <xf numFmtId="167" fontId="6" fillId="6" borderId="5" xfId="1" applyNumberFormat="1" applyFont="1" applyFill="1" applyBorder="1" applyAlignment="1">
      <alignment vertical="center" wrapText="1"/>
    </xf>
    <xf numFmtId="0" fontId="12" fillId="3" borderId="4" xfId="0" applyFont="1" applyBorder="1" applyAlignment="1">
      <alignment horizontal="right" vertical="center" wrapText="1"/>
    </xf>
    <xf numFmtId="0" fontId="12" fillId="3" borderId="11" xfId="0" applyFont="1" applyBorder="1" applyAlignment="1">
      <alignment horizontal="right" vertical="center" wrapText="1"/>
    </xf>
    <xf numFmtId="167" fontId="12" fillId="6" borderId="5" xfId="1" applyNumberFormat="1" applyFont="1" applyFill="1" applyBorder="1" applyAlignment="1">
      <alignment vertical="center" wrapText="1"/>
    </xf>
    <xf numFmtId="167" fontId="12" fillId="6" borderId="6" xfId="1" applyNumberFormat="1" applyFont="1" applyFill="1" applyBorder="1" applyAlignment="1">
      <alignment vertical="center" wrapText="1"/>
    </xf>
    <xf numFmtId="167" fontId="12" fillId="6" borderId="9" xfId="1" applyNumberFormat="1" applyFont="1" applyFill="1" applyBorder="1" applyAlignment="1">
      <alignment vertical="center" wrapText="1"/>
    </xf>
    <xf numFmtId="167" fontId="12" fillId="6" borderId="12" xfId="1" applyNumberFormat="1" applyFont="1" applyFill="1" applyBorder="1" applyAlignment="1">
      <alignment vertical="center" wrapText="1"/>
    </xf>
    <xf numFmtId="0" fontId="6" fillId="3" borderId="4" xfId="0" applyFont="1" applyBorder="1" applyAlignment="1">
      <alignment horizontal="right" vertical="center" wrapText="1"/>
    </xf>
    <xf numFmtId="0" fontId="2" fillId="6" borderId="5" xfId="2" applyFont="1" applyFill="1" applyBorder="1" applyAlignment="1">
      <alignment horizontal="center" vertical="center" wrapText="1"/>
    </xf>
    <xf numFmtId="0" fontId="10" fillId="6" borderId="4" xfId="2" applyFont="1" applyFill="1" applyBorder="1" applyAlignment="1" applyProtection="1">
      <alignment vertical="center"/>
      <protection locked="0"/>
    </xf>
    <xf numFmtId="0" fontId="8" fillId="4" borderId="0" xfId="3" applyFont="1" applyFill="1" applyAlignment="1">
      <alignment horizontal="center" vertical="center" wrapText="1"/>
    </xf>
    <xf numFmtId="0" fontId="8" fillId="0" borderId="4" xfId="3" applyFont="1" applyBorder="1" applyAlignment="1" applyProtection="1">
      <alignment horizontal="center" vertical="center"/>
      <protection locked="0"/>
    </xf>
    <xf numFmtId="0" fontId="8" fillId="0" borderId="5" xfId="3" applyFont="1" applyBorder="1" applyAlignment="1" applyProtection="1">
      <alignment horizontal="left" vertical="center" wrapText="1"/>
      <protection locked="0"/>
    </xf>
    <xf numFmtId="0" fontId="8" fillId="0" borderId="5" xfId="3" applyFont="1" applyBorder="1" applyAlignment="1" applyProtection="1">
      <alignment horizontal="center" vertical="center" wrapText="1"/>
      <protection locked="0"/>
    </xf>
    <xf numFmtId="14" fontId="8" fillId="0" borderId="5" xfId="3" applyNumberFormat="1" applyFont="1" applyBorder="1" applyAlignment="1" applyProtection="1">
      <alignment horizontal="center" vertical="center"/>
      <protection locked="0"/>
    </xf>
    <xf numFmtId="0" fontId="8" fillId="0" borderId="6" xfId="3" applyFont="1" applyBorder="1" applyAlignment="1" applyProtection="1">
      <alignment horizontal="left" vertical="center" wrapText="1"/>
      <protection locked="0"/>
    </xf>
    <xf numFmtId="0" fontId="8" fillId="0" borderId="11" xfId="3" applyFont="1" applyBorder="1" applyAlignment="1" applyProtection="1">
      <alignment horizontal="center" vertical="center"/>
      <protection locked="0"/>
    </xf>
    <xf numFmtId="0" fontId="8" fillId="0" borderId="9" xfId="3" applyFont="1" applyBorder="1" applyAlignment="1" applyProtection="1">
      <alignment horizontal="center" vertical="center" wrapText="1"/>
      <protection locked="0"/>
    </xf>
    <xf numFmtId="0" fontId="8" fillId="4" borderId="0" xfId="3" applyFont="1" applyFill="1" applyAlignment="1">
      <alignment vertical="center"/>
    </xf>
    <xf numFmtId="0" fontId="8" fillId="4" borderId="0" xfId="3" applyFont="1" applyFill="1" applyAlignment="1">
      <alignment horizontal="left" vertical="center" wrapText="1"/>
    </xf>
    <xf numFmtId="168" fontId="8" fillId="4" borderId="0" xfId="3" applyNumberFormat="1" applyFont="1" applyFill="1" applyAlignment="1">
      <alignment horizontal="left" vertical="center" wrapText="1"/>
    </xf>
    <xf numFmtId="0" fontId="8" fillId="4" borderId="29" xfId="3" applyFont="1" applyFill="1" applyBorder="1" applyAlignment="1">
      <alignment horizontal="left" vertical="center" wrapText="1"/>
    </xf>
    <xf numFmtId="14" fontId="8" fillId="0" borderId="5" xfId="3" applyNumberFormat="1" applyFont="1" applyBorder="1" applyAlignment="1" applyProtection="1">
      <alignment horizontal="left" vertical="center" wrapText="1"/>
      <protection locked="0"/>
    </xf>
    <xf numFmtId="0" fontId="8" fillId="0" borderId="9" xfId="3" applyFont="1" applyBorder="1" applyAlignment="1" applyProtection="1">
      <alignment horizontal="left" vertical="center" wrapText="1"/>
      <protection locked="0"/>
    </xf>
    <xf numFmtId="14" fontId="8" fillId="0" borderId="9" xfId="3" applyNumberFormat="1" applyFont="1" applyBorder="1" applyAlignment="1" applyProtection="1">
      <alignment horizontal="left" vertical="center" wrapText="1"/>
      <protection locked="0"/>
    </xf>
    <xf numFmtId="0" fontId="8" fillId="0" borderId="12" xfId="3" applyFont="1" applyBorder="1" applyAlignment="1" applyProtection="1">
      <alignment horizontal="left" vertical="center" wrapText="1"/>
      <protection locked="0"/>
    </xf>
    <xf numFmtId="0" fontId="8" fillId="0" borderId="6" xfId="3" applyFont="1" applyBorder="1" applyAlignment="1" applyProtection="1">
      <alignment horizontal="center" vertical="center" wrapText="1"/>
      <protection locked="0"/>
    </xf>
    <xf numFmtId="0" fontId="8" fillId="5" borderId="5" xfId="3" applyFont="1" applyFill="1" applyBorder="1" applyAlignment="1" applyProtection="1">
      <alignment horizontal="center" vertical="center" wrapText="1"/>
      <protection locked="0"/>
    </xf>
    <xf numFmtId="0" fontId="8" fillId="5" borderId="9" xfId="3" applyFont="1" applyFill="1" applyBorder="1" applyAlignment="1" applyProtection="1">
      <alignment horizontal="center" vertical="center" wrapText="1"/>
      <protection locked="0"/>
    </xf>
    <xf numFmtId="0" fontId="8" fillId="5" borderId="6" xfId="3" applyFont="1" applyFill="1" applyBorder="1" applyAlignment="1" applyProtection="1">
      <alignment horizontal="center" vertical="center" wrapText="1"/>
      <protection locked="0"/>
    </xf>
    <xf numFmtId="0" fontId="8" fillId="5" borderId="12" xfId="3" applyFont="1" applyFill="1" applyBorder="1" applyAlignment="1" applyProtection="1">
      <alignment horizontal="center" vertical="center" wrapText="1"/>
      <protection locked="0"/>
    </xf>
    <xf numFmtId="0" fontId="5" fillId="6" borderId="21" xfId="2" applyFont="1" applyFill="1" applyBorder="1" applyAlignment="1">
      <alignment horizontal="left" vertical="center" wrapText="1"/>
    </xf>
    <xf numFmtId="0" fontId="5" fillId="6" borderId="18" xfId="2" applyFont="1" applyFill="1" applyBorder="1" applyAlignment="1">
      <alignment horizontal="left" vertical="center" wrapText="1"/>
    </xf>
    <xf numFmtId="0" fontId="5" fillId="3" borderId="28" xfId="2" applyFont="1" applyBorder="1"/>
    <xf numFmtId="0" fontId="5" fillId="3" borderId="28" xfId="2" applyFont="1" applyBorder="1" applyAlignment="1">
      <alignment vertical="center"/>
    </xf>
    <xf numFmtId="49" fontId="5" fillId="3" borderId="6" xfId="2" applyNumberFormat="1" applyFont="1" applyBorder="1" applyAlignment="1">
      <alignment horizontal="right" vertical="center" wrapText="1"/>
    </xf>
    <xf numFmtId="14" fontId="5" fillId="3" borderId="12" xfId="2" applyNumberFormat="1" applyFont="1" applyBorder="1" applyAlignment="1">
      <alignment horizontal="right" vertical="center" wrapText="1"/>
    </xf>
    <xf numFmtId="0" fontId="5" fillId="6" borderId="31" xfId="2" applyFont="1" applyFill="1" applyBorder="1" applyAlignment="1">
      <alignment horizontal="left" vertical="center" wrapText="1"/>
    </xf>
    <xf numFmtId="0" fontId="5" fillId="3" borderId="32" xfId="2" applyFont="1" applyBorder="1" applyAlignment="1">
      <alignment horizontal="right" vertical="center" wrapText="1"/>
    </xf>
    <xf numFmtId="0" fontId="14" fillId="3" borderId="0" xfId="2" applyFont="1" applyAlignment="1">
      <alignment vertical="center"/>
    </xf>
    <xf numFmtId="0" fontId="4" fillId="7" borderId="1" xfId="2" applyFont="1" applyFill="1" applyBorder="1" applyAlignment="1">
      <alignment horizontal="left" vertical="center"/>
    </xf>
    <xf numFmtId="0" fontId="4" fillId="7" borderId="2" xfId="2" applyFont="1" applyFill="1" applyBorder="1" applyAlignment="1">
      <alignment horizontal="center" vertical="center" wrapText="1"/>
    </xf>
    <xf numFmtId="0" fontId="4" fillId="7" borderId="2" xfId="2" applyFont="1" applyFill="1" applyBorder="1" applyAlignment="1">
      <alignment horizontal="center" vertical="center"/>
    </xf>
    <xf numFmtId="0" fontId="4" fillId="7" borderId="3" xfId="2" applyFont="1" applyFill="1" applyBorder="1" applyAlignment="1">
      <alignment horizontal="center" vertical="center" wrapText="1"/>
    </xf>
    <xf numFmtId="0" fontId="9" fillId="7" borderId="0" xfId="2" applyFont="1" applyFill="1" applyAlignment="1">
      <alignment horizontal="left" vertical="center"/>
    </xf>
    <xf numFmtId="0" fontId="9" fillId="7" borderId="1" xfId="2" applyFont="1" applyFill="1" applyBorder="1" applyAlignment="1">
      <alignment horizontal="center" vertical="center" wrapText="1"/>
    </xf>
    <xf numFmtId="0" fontId="9" fillId="7" borderId="2" xfId="2" applyFont="1" applyFill="1" applyBorder="1" applyAlignment="1">
      <alignment horizontal="center" vertical="center" wrapText="1"/>
    </xf>
    <xf numFmtId="0" fontId="9" fillId="7" borderId="3" xfId="2" applyFont="1" applyFill="1" applyBorder="1" applyAlignment="1">
      <alignment horizontal="center" vertical="center" wrapText="1"/>
    </xf>
    <xf numFmtId="0" fontId="8" fillId="8" borderId="4" xfId="2" applyFont="1" applyFill="1" applyBorder="1" applyAlignment="1">
      <alignment horizontal="right" vertical="center" wrapText="1"/>
    </xf>
    <xf numFmtId="0" fontId="8" fillId="8" borderId="11" xfId="2" applyFont="1" applyFill="1" applyBorder="1" applyAlignment="1">
      <alignment horizontal="right" vertical="center" wrapText="1"/>
    </xf>
    <xf numFmtId="0" fontId="9" fillId="7" borderId="0" xfId="2" applyFont="1" applyFill="1" applyAlignment="1">
      <alignment vertical="center"/>
    </xf>
    <xf numFmtId="0" fontId="10" fillId="8" borderId="4" xfId="2" applyFont="1" applyFill="1" applyBorder="1" applyAlignment="1">
      <alignment vertical="center"/>
    </xf>
    <xf numFmtId="0" fontId="10" fillId="8" borderId="6" xfId="2" applyFont="1" applyFill="1" applyBorder="1" applyAlignment="1">
      <alignment vertical="center"/>
    </xf>
    <xf numFmtId="0" fontId="10" fillId="8" borderId="4" xfId="2" applyFont="1" applyFill="1" applyBorder="1" applyAlignment="1">
      <alignment vertical="center" wrapText="1"/>
    </xf>
    <xf numFmtId="0" fontId="10" fillId="8" borderId="6" xfId="2" applyFont="1" applyFill="1" applyBorder="1" applyAlignment="1">
      <alignment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4" fillId="7" borderId="0" xfId="2" applyFont="1" applyFill="1" applyAlignment="1">
      <alignment vertical="center"/>
    </xf>
    <xf numFmtId="0" fontId="9" fillId="7" borderId="1" xfId="3" applyFont="1" applyFill="1" applyBorder="1" applyAlignment="1">
      <alignment horizontal="center" vertical="center" wrapText="1"/>
    </xf>
    <xf numFmtId="0" fontId="9" fillId="7" borderId="2" xfId="3" applyFont="1" applyFill="1" applyBorder="1" applyAlignment="1">
      <alignment horizontal="center" vertical="center" wrapText="1"/>
    </xf>
    <xf numFmtId="168" fontId="9" fillId="7" borderId="2" xfId="3" applyNumberFormat="1" applyFont="1" applyFill="1" applyBorder="1" applyAlignment="1">
      <alignment horizontal="center" vertical="center" wrapText="1"/>
    </xf>
    <xf numFmtId="0" fontId="9" fillId="7" borderId="3" xfId="3" applyFont="1" applyFill="1" applyBorder="1" applyAlignment="1">
      <alignment horizontal="center" vertical="center" wrapText="1"/>
    </xf>
    <xf numFmtId="0" fontId="9" fillId="7" borderId="30" xfId="3" applyFont="1" applyFill="1" applyBorder="1" applyAlignment="1">
      <alignment horizontal="center" vertical="center" wrapText="1"/>
    </xf>
    <xf numFmtId="0" fontId="4" fillId="7" borderId="33" xfId="2" applyFont="1" applyFill="1" applyBorder="1" applyAlignment="1">
      <alignment horizontal="left" vertical="center"/>
    </xf>
    <xf numFmtId="0" fontId="4" fillId="7" borderId="34" xfId="2" applyFont="1" applyFill="1" applyBorder="1" applyAlignment="1">
      <alignment horizontal="left" vertical="center"/>
    </xf>
    <xf numFmtId="0" fontId="4" fillId="7" borderId="0" xfId="2" applyFont="1" applyFill="1" applyAlignment="1">
      <alignment horizontal="left" vertical="center"/>
    </xf>
    <xf numFmtId="0" fontId="6" fillId="3" borderId="0" xfId="0" applyFont="1"/>
    <xf numFmtId="0" fontId="9" fillId="7" borderId="0" xfId="2" applyFont="1" applyFill="1" applyAlignment="1">
      <alignment horizontal="left" vertical="center"/>
    </xf>
    <xf numFmtId="0" fontId="8" fillId="3" borderId="0" xfId="2" applyFont="1" applyAlignment="1">
      <alignment horizontal="left" vertical="center" wrapText="1"/>
    </xf>
    <xf numFmtId="0" fontId="9" fillId="7" borderId="1" xfId="2" applyFont="1" applyFill="1" applyBorder="1" applyAlignment="1">
      <alignment horizontal="center" vertical="center" wrapText="1"/>
    </xf>
    <xf numFmtId="0" fontId="9" fillId="7" borderId="2" xfId="2" applyFont="1" applyFill="1" applyBorder="1" applyAlignment="1">
      <alignment horizontal="center" vertical="center" wrapText="1"/>
    </xf>
    <xf numFmtId="0" fontId="9" fillId="7" borderId="3" xfId="2" applyFont="1" applyFill="1" applyBorder="1" applyAlignment="1">
      <alignment horizontal="center" vertical="center" wrapText="1"/>
    </xf>
    <xf numFmtId="0" fontId="9" fillId="7" borderId="13" xfId="2" applyFont="1" applyFill="1" applyBorder="1" applyAlignment="1">
      <alignment horizontal="center" vertical="center" wrapText="1"/>
    </xf>
    <xf numFmtId="0" fontId="8" fillId="3" borderId="5" xfId="2" applyFont="1" applyBorder="1" applyAlignment="1">
      <alignment horizontal="left" vertical="center" wrapText="1"/>
    </xf>
    <xf numFmtId="0" fontId="8" fillId="3" borderId="6" xfId="2" applyFont="1" applyBorder="1" applyAlignment="1">
      <alignment horizontal="left" vertical="center" wrapText="1"/>
    </xf>
    <xf numFmtId="0" fontId="8" fillId="8" borderId="4" xfId="2" applyFont="1" applyFill="1" applyBorder="1" applyAlignment="1">
      <alignment horizontal="right" vertical="center" wrapText="1"/>
    </xf>
    <xf numFmtId="0" fontId="8" fillId="3" borderId="14" xfId="2" applyFont="1" applyBorder="1" applyAlignment="1">
      <alignment horizontal="left" vertical="center" wrapText="1"/>
    </xf>
    <xf numFmtId="164" fontId="8" fillId="3" borderId="14" xfId="2" applyNumberFormat="1" applyFont="1" applyBorder="1" applyAlignment="1">
      <alignment horizontal="left" vertical="center" wrapText="1"/>
    </xf>
    <xf numFmtId="164" fontId="8" fillId="3" borderId="15" xfId="2" applyNumberFormat="1" applyFont="1" applyBorder="1" applyAlignment="1">
      <alignment horizontal="left" vertical="center" wrapText="1"/>
    </xf>
    <xf numFmtId="164" fontId="8" fillId="3" borderId="16" xfId="2" applyNumberFormat="1" applyFont="1" applyBorder="1" applyAlignment="1">
      <alignment horizontal="left" vertical="center" wrapText="1"/>
    </xf>
    <xf numFmtId="0" fontId="8" fillId="8" borderId="17" xfId="2" applyFont="1" applyFill="1" applyBorder="1" applyAlignment="1">
      <alignment horizontal="right" vertical="center" wrapText="1"/>
    </xf>
    <xf numFmtId="0" fontId="8" fillId="8" borderId="18" xfId="2" applyFont="1" applyFill="1" applyBorder="1" applyAlignment="1">
      <alignment horizontal="right" vertical="center" wrapText="1"/>
    </xf>
    <xf numFmtId="0" fontId="8" fillId="0" borderId="17" xfId="2" applyFont="1" applyFill="1" applyBorder="1" applyAlignment="1">
      <alignment horizontal="left" vertical="center" wrapText="1"/>
    </xf>
    <xf numFmtId="0" fontId="8" fillId="0" borderId="19" xfId="2" applyFont="1" applyFill="1" applyBorder="1" applyAlignment="1">
      <alignment horizontal="left" vertical="center" wrapText="1"/>
    </xf>
    <xf numFmtId="0" fontId="10" fillId="8" borderId="4" xfId="2" applyFont="1" applyFill="1" applyBorder="1" applyAlignment="1">
      <alignment horizontal="center" vertical="center" wrapText="1"/>
    </xf>
    <xf numFmtId="0" fontId="10" fillId="8" borderId="5" xfId="2" applyFont="1" applyFill="1" applyBorder="1" applyAlignment="1">
      <alignment horizontal="center" vertical="center" wrapText="1"/>
    </xf>
    <xf numFmtId="0" fontId="10" fillId="8" borderId="6" xfId="2" applyFont="1" applyFill="1" applyBorder="1" applyAlignment="1">
      <alignment horizontal="center" vertical="center" wrapText="1"/>
    </xf>
    <xf numFmtId="0" fontId="10" fillId="8" borderId="5" xfId="2" applyFont="1" applyFill="1" applyBorder="1" applyAlignment="1">
      <alignment horizontal="center" vertical="center"/>
    </xf>
    <xf numFmtId="0" fontId="10" fillId="8" borderId="14" xfId="2" applyFont="1" applyFill="1" applyBorder="1" applyAlignment="1">
      <alignment horizontal="center" vertical="center"/>
    </xf>
    <xf numFmtId="0" fontId="10" fillId="8" borderId="6" xfId="2" applyFont="1" applyFill="1" applyBorder="1" applyAlignment="1">
      <alignment horizontal="center" vertical="center"/>
    </xf>
    <xf numFmtId="0" fontId="8" fillId="3" borderId="4" xfId="2" applyFont="1" applyBorder="1" applyAlignment="1">
      <alignment horizontal="center" vertical="center"/>
    </xf>
    <xf numFmtId="0" fontId="8" fillId="3" borderId="5" xfId="2" applyFont="1" applyBorder="1" applyAlignment="1">
      <alignment horizontal="center" vertical="center"/>
    </xf>
    <xf numFmtId="0" fontId="8" fillId="3" borderId="6" xfId="2" applyFont="1" applyBorder="1" applyAlignment="1">
      <alignment horizontal="center" vertical="center"/>
    </xf>
    <xf numFmtId="0" fontId="8" fillId="6" borderId="20" xfId="2" applyFont="1" applyFill="1" applyBorder="1" applyAlignment="1">
      <alignment horizontal="right" vertical="center" wrapText="1"/>
    </xf>
    <xf numFmtId="0" fontId="8" fillId="6" borderId="21" xfId="2" applyFont="1" applyFill="1" applyBorder="1" applyAlignment="1">
      <alignment horizontal="right" vertical="center" wrapText="1"/>
    </xf>
    <xf numFmtId="0" fontId="8" fillId="0" borderId="14" xfId="2" applyFont="1" applyFill="1" applyBorder="1" applyAlignment="1">
      <alignment horizontal="left" vertical="center" wrapText="1"/>
    </xf>
    <xf numFmtId="0" fontId="8" fillId="0" borderId="16" xfId="2" applyFont="1" applyFill="1" applyBorder="1" applyAlignment="1">
      <alignment horizontal="left" vertical="center" wrapText="1"/>
    </xf>
    <xf numFmtId="0" fontId="8" fillId="3" borderId="4" xfId="2" applyFont="1" applyBorder="1" applyAlignment="1">
      <alignment horizontal="center"/>
    </xf>
    <xf numFmtId="0" fontId="8" fillId="3" borderId="5" xfId="2" applyFont="1" applyBorder="1" applyAlignment="1">
      <alignment horizontal="center"/>
    </xf>
    <xf numFmtId="0" fontId="8" fillId="3" borderId="6" xfId="2" applyFont="1" applyBorder="1" applyAlignment="1">
      <alignment horizontal="center"/>
    </xf>
    <xf numFmtId="0" fontId="10" fillId="6" borderId="4" xfId="2" applyFont="1" applyFill="1" applyBorder="1" applyAlignment="1">
      <alignment horizontal="center" vertical="center" wrapText="1"/>
    </xf>
    <xf numFmtId="0" fontId="10" fillId="6" borderId="5" xfId="2" applyFont="1" applyFill="1" applyBorder="1" applyAlignment="1">
      <alignment horizontal="center" vertical="center" wrapText="1"/>
    </xf>
    <xf numFmtId="0" fontId="10" fillId="0" borderId="20" xfId="2" applyFont="1" applyFill="1" applyBorder="1" applyAlignment="1">
      <alignment horizontal="left" vertical="center" wrapText="1"/>
    </xf>
    <xf numFmtId="0" fontId="10" fillId="0" borderId="15" xfId="2" applyFont="1" applyFill="1" applyBorder="1" applyAlignment="1">
      <alignment horizontal="left" vertical="center" wrapText="1"/>
    </xf>
    <xf numFmtId="0" fontId="10" fillId="0" borderId="16" xfId="2" applyFont="1" applyFill="1" applyBorder="1" applyAlignment="1">
      <alignment horizontal="left" vertical="center" wrapText="1"/>
    </xf>
    <xf numFmtId="0" fontId="8" fillId="3" borderId="11" xfId="2" applyFont="1" applyBorder="1" applyAlignment="1">
      <alignment horizontal="center"/>
    </xf>
    <xf numFmtId="0" fontId="8" fillId="3" borderId="9" xfId="2" applyFont="1" applyBorder="1" applyAlignment="1">
      <alignment horizontal="center"/>
    </xf>
    <xf numFmtId="0" fontId="8" fillId="3" borderId="12" xfId="2" applyFont="1" applyBorder="1" applyAlignment="1">
      <alignment horizontal="center"/>
    </xf>
    <xf numFmtId="0" fontId="8" fillId="3" borderId="20" xfId="2" applyFont="1" applyBorder="1" applyAlignment="1">
      <alignment horizontal="left" vertical="center" wrapText="1"/>
    </xf>
    <xf numFmtId="0" fontId="8" fillId="3" borderId="15" xfId="2" applyFont="1" applyBorder="1" applyAlignment="1">
      <alignment horizontal="left" vertical="center" wrapText="1"/>
    </xf>
    <xf numFmtId="0" fontId="8" fillId="3" borderId="16" xfId="2" applyFont="1" applyBorder="1" applyAlignment="1">
      <alignment horizontal="left" vertical="center" wrapText="1"/>
    </xf>
    <xf numFmtId="0" fontId="8" fillId="3" borderId="20" xfId="2" applyFont="1" applyBorder="1" applyAlignment="1">
      <alignment horizontal="left"/>
    </xf>
    <xf numFmtId="0" fontId="8" fillId="3" borderId="15" xfId="2" applyFont="1" applyBorder="1" applyAlignment="1">
      <alignment horizontal="left"/>
    </xf>
    <xf numFmtId="0" fontId="8" fillId="3" borderId="16" xfId="2" applyFont="1" applyBorder="1" applyAlignment="1">
      <alignment horizontal="left"/>
    </xf>
    <xf numFmtId="0" fontId="8" fillId="3" borderId="22" xfId="2" applyFont="1" applyBorder="1" applyAlignment="1">
      <alignment horizontal="left" vertical="center" wrapText="1"/>
    </xf>
    <xf numFmtId="0" fontId="8" fillId="3" borderId="23" xfId="2" applyFont="1" applyBorder="1" applyAlignment="1">
      <alignment horizontal="left" vertical="center" wrapText="1"/>
    </xf>
    <xf numFmtId="0" fontId="8" fillId="3" borderId="19" xfId="2" applyFont="1" applyBorder="1" applyAlignment="1">
      <alignment horizontal="left" vertical="center" wrapText="1"/>
    </xf>
    <xf numFmtId="0" fontId="8" fillId="3" borderId="22" xfId="2" applyFont="1" applyBorder="1" applyAlignment="1">
      <alignment horizontal="left"/>
    </xf>
    <xf numFmtId="0" fontId="8" fillId="3" borderId="23" xfId="2" applyFont="1" applyBorder="1" applyAlignment="1">
      <alignment horizontal="left"/>
    </xf>
    <xf numFmtId="0" fontId="8" fillId="3" borderId="19" xfId="2" applyFont="1" applyBorder="1" applyAlignment="1">
      <alignment horizontal="left"/>
    </xf>
    <xf numFmtId="0" fontId="8" fillId="3" borderId="24" xfId="2" applyFont="1" applyBorder="1" applyAlignment="1">
      <alignment horizontal="left" vertical="center" wrapText="1"/>
    </xf>
    <xf numFmtId="0" fontId="8" fillId="3" borderId="24" xfId="2" applyFont="1" applyBorder="1" applyAlignment="1">
      <alignment vertical="center" wrapText="1"/>
    </xf>
    <xf numFmtId="0" fontId="9" fillId="7" borderId="25" xfId="2" applyFont="1" applyFill="1" applyBorder="1" applyAlignment="1">
      <alignment horizontal="center" vertical="center" wrapText="1"/>
    </xf>
    <xf numFmtId="0" fontId="9" fillId="7" borderId="26" xfId="2" applyFont="1" applyFill="1" applyBorder="1" applyAlignment="1">
      <alignment horizontal="center" vertical="center" wrapText="1"/>
    </xf>
    <xf numFmtId="0" fontId="9" fillId="7" borderId="27" xfId="2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9" fillId="7" borderId="0" xfId="3" applyFont="1" applyFill="1" applyAlignment="1">
      <alignment horizontal="left" vertical="center"/>
    </xf>
    <xf numFmtId="0" fontId="9" fillId="7" borderId="25" xfId="3" applyFont="1" applyFill="1" applyBorder="1" applyAlignment="1">
      <alignment horizontal="left" vertical="center" wrapText="1"/>
    </xf>
    <xf numFmtId="0" fontId="9" fillId="7" borderId="30" xfId="3" applyFont="1" applyFill="1" applyBorder="1" applyAlignment="1">
      <alignment horizontal="left" vertical="center" wrapText="1"/>
    </xf>
    <xf numFmtId="0" fontId="10" fillId="6" borderId="20" xfId="3" applyFont="1" applyFill="1" applyBorder="1" applyAlignment="1" applyProtection="1">
      <alignment horizontal="left" vertical="center"/>
      <protection locked="0"/>
    </xf>
    <xf numFmtId="0" fontId="10" fillId="6" borderId="15" xfId="3" applyFont="1" applyFill="1" applyBorder="1" applyAlignment="1" applyProtection="1">
      <alignment horizontal="left" vertical="center"/>
      <protection locked="0"/>
    </xf>
    <xf numFmtId="0" fontId="10" fillId="6" borderId="16" xfId="3" applyFont="1" applyFill="1" applyBorder="1" applyAlignment="1" applyProtection="1">
      <alignment horizontal="left" vertical="center"/>
      <protection locked="0"/>
    </xf>
  </cellXfs>
  <cellStyles count="4">
    <cellStyle name="Comma" xfId="1" builtinId="3"/>
    <cellStyle name="Normal" xfId="0" builtinId="0" customBuiltin="1"/>
    <cellStyle name="Normal 2" xfId="2" xr:uid="{5F3E619E-19BA-BA4A-A213-B78C348B792C}"/>
    <cellStyle name="Normal 5" xfId="3" xr:uid="{E0DA6714-F5CA-1246-9BEA-48B872AE93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Custom 10">
      <a:dk1>
        <a:srgbClr val="000000"/>
      </a:dk1>
      <a:lt1>
        <a:srgbClr val="FFFFFF"/>
      </a:lt1>
      <a:dk2>
        <a:srgbClr val="FFFFFF"/>
      </a:dk2>
      <a:lt2>
        <a:srgbClr val="FFFFFF"/>
      </a:lt2>
      <a:accent1>
        <a:srgbClr val="14478A"/>
      </a:accent1>
      <a:accent2>
        <a:srgbClr val="B7472A"/>
      </a:accent2>
      <a:accent3>
        <a:srgbClr val="F5E3DF"/>
      </a:accent3>
      <a:accent4>
        <a:srgbClr val="424242"/>
      </a:accent4>
      <a:accent5>
        <a:srgbClr val="D9D9D9"/>
      </a:accent5>
      <a:accent6>
        <a:srgbClr val="F0F0F0"/>
      </a:accent6>
      <a:hlink>
        <a:srgbClr val="555555"/>
      </a:hlink>
      <a:folHlink>
        <a:srgbClr val="333333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6F25-94E8-5A4A-80DF-A9C5B0BB085D}">
  <dimension ref="A2:C7"/>
  <sheetViews>
    <sheetView workbookViewId="0">
      <selection activeCell="B2" sqref="B2"/>
    </sheetView>
  </sheetViews>
  <sheetFormatPr defaultColWidth="7.81640625" defaultRowHeight="24" customHeight="1"/>
  <cols>
    <col min="1" max="1" width="2.453125" style="1" customWidth="1"/>
    <col min="2" max="3" width="25.26953125" style="1" customWidth="1"/>
    <col min="4" max="16384" width="7.81640625" style="1"/>
  </cols>
  <sheetData>
    <row r="2" spans="1:3" ht="24" customHeight="1">
      <c r="B2" s="100" t="s">
        <v>135</v>
      </c>
    </row>
    <row r="3" spans="1:3" ht="24" customHeight="1" thickBot="1"/>
    <row r="4" spans="1:3" ht="24" customHeight="1" thickBot="1">
      <c r="A4" s="94"/>
      <c r="B4" s="125" t="s">
        <v>134</v>
      </c>
      <c r="C4" s="126"/>
    </row>
    <row r="5" spans="1:3" ht="24" customHeight="1">
      <c r="A5" s="95"/>
      <c r="B5" s="98" t="s">
        <v>129</v>
      </c>
      <c r="C5" s="99" t="s">
        <v>133</v>
      </c>
    </row>
    <row r="6" spans="1:3" ht="24" customHeight="1">
      <c r="A6" s="95"/>
      <c r="B6" s="92" t="s">
        <v>131</v>
      </c>
      <c r="C6" s="96" t="s">
        <v>132</v>
      </c>
    </row>
    <row r="7" spans="1:3" ht="24" customHeight="1" thickBot="1">
      <c r="A7" s="95"/>
      <c r="B7" s="93" t="s">
        <v>130</v>
      </c>
      <c r="C7" s="97">
        <f ca="1">TODAY()</f>
        <v>45423</v>
      </c>
    </row>
  </sheetData>
  <mergeCells count="1"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506C-55C4-B047-9AF2-38C4D3F0ACA1}">
  <dimension ref="B2:G16"/>
  <sheetViews>
    <sheetView zoomScaleNormal="100" workbookViewId="0">
      <selection activeCell="D45" sqref="D45"/>
    </sheetView>
  </sheetViews>
  <sheetFormatPr defaultColWidth="7.81640625" defaultRowHeight="24" customHeight="1"/>
  <cols>
    <col min="1" max="1" width="2.453125" style="1" customWidth="1"/>
    <col min="2" max="2" width="4.7265625" style="1" customWidth="1"/>
    <col min="3" max="3" width="40.54296875" style="1" customWidth="1"/>
    <col min="4" max="4" width="31.1796875" style="1" customWidth="1"/>
    <col min="5" max="7" width="15.54296875" style="1" customWidth="1"/>
    <col min="8" max="16384" width="7.81640625" style="1"/>
  </cols>
  <sheetData>
    <row r="2" spans="2:7" ht="24" customHeight="1">
      <c r="B2" s="127" t="s">
        <v>0</v>
      </c>
      <c r="C2" s="127"/>
      <c r="D2" s="127"/>
      <c r="E2" s="127"/>
      <c r="F2" s="127"/>
      <c r="G2" s="127"/>
    </row>
    <row r="3" spans="2:7" ht="24" customHeight="1" thickBot="1">
      <c r="B3" s="128"/>
      <c r="C3" s="128"/>
      <c r="D3" s="128"/>
      <c r="E3" s="128"/>
      <c r="F3" s="128"/>
      <c r="G3" s="2"/>
    </row>
    <row r="4" spans="2:7" ht="24" customHeight="1">
      <c r="B4" s="101"/>
      <c r="C4" s="102" t="s">
        <v>1</v>
      </c>
      <c r="D4" s="102" t="s">
        <v>2</v>
      </c>
      <c r="E4" s="103" t="s">
        <v>3</v>
      </c>
      <c r="F4" s="102" t="s">
        <v>4</v>
      </c>
      <c r="G4" s="104" t="s">
        <v>5</v>
      </c>
    </row>
    <row r="5" spans="2:7" s="6" customFormat="1" ht="24" customHeight="1">
      <c r="B5" s="28">
        <v>1</v>
      </c>
      <c r="C5" s="29" t="s">
        <v>11</v>
      </c>
      <c r="D5" s="29" t="s">
        <v>6</v>
      </c>
      <c r="E5" s="3"/>
      <c r="F5" s="4"/>
      <c r="G5" s="5"/>
    </row>
    <row r="6" spans="2:7" s="6" customFormat="1" ht="24" customHeight="1">
      <c r="B6" s="28">
        <v>2</v>
      </c>
      <c r="C6" s="29" t="s">
        <v>7</v>
      </c>
      <c r="D6" s="29" t="s">
        <v>6</v>
      </c>
      <c r="E6" s="3"/>
      <c r="F6" s="4"/>
      <c r="G6" s="5"/>
    </row>
    <row r="7" spans="2:7" s="6" customFormat="1" ht="24" customHeight="1">
      <c r="B7" s="28">
        <v>3</v>
      </c>
      <c r="C7" s="29" t="s">
        <v>8</v>
      </c>
      <c r="D7" s="29" t="s">
        <v>6</v>
      </c>
      <c r="E7" s="3"/>
      <c r="F7" s="4"/>
      <c r="G7" s="5"/>
    </row>
    <row r="8" spans="2:7" s="6" customFormat="1" ht="24" customHeight="1">
      <c r="B8" s="28">
        <v>4</v>
      </c>
      <c r="C8" s="29" t="s">
        <v>9</v>
      </c>
      <c r="D8" s="29" t="s">
        <v>6</v>
      </c>
      <c r="E8" s="3"/>
      <c r="F8" s="4"/>
      <c r="G8" s="5"/>
    </row>
    <row r="9" spans="2:7" s="6" customFormat="1" ht="24" customHeight="1">
      <c r="B9" s="30">
        <v>5</v>
      </c>
      <c r="C9" s="31" t="s">
        <v>10</v>
      </c>
      <c r="D9" s="29" t="s">
        <v>6</v>
      </c>
      <c r="E9" s="7"/>
      <c r="F9" s="8"/>
      <c r="G9" s="9"/>
    </row>
    <row r="10" spans="2:7" s="6" customFormat="1" ht="24" customHeight="1">
      <c r="B10" s="30">
        <v>6</v>
      </c>
      <c r="C10" s="31" t="s">
        <v>111</v>
      </c>
      <c r="D10" s="29" t="s">
        <v>6</v>
      </c>
      <c r="E10" s="7"/>
      <c r="F10" s="8"/>
      <c r="G10" s="9"/>
    </row>
    <row r="11" spans="2:7" s="6" customFormat="1" ht="24" customHeight="1">
      <c r="B11" s="30">
        <v>7</v>
      </c>
      <c r="C11" s="29" t="s">
        <v>112</v>
      </c>
      <c r="D11" s="29" t="s">
        <v>12</v>
      </c>
      <c r="E11" s="7"/>
      <c r="F11" s="8"/>
      <c r="G11" s="9"/>
    </row>
    <row r="12" spans="2:7" s="6" customFormat="1" ht="24" customHeight="1">
      <c r="B12" s="28">
        <v>8</v>
      </c>
      <c r="C12" s="29"/>
      <c r="D12" s="29"/>
      <c r="E12" s="3"/>
      <c r="F12" s="4"/>
      <c r="G12" s="5"/>
    </row>
    <row r="13" spans="2:7" s="6" customFormat="1" ht="24" customHeight="1">
      <c r="B13" s="28">
        <v>9</v>
      </c>
      <c r="C13" s="29"/>
      <c r="D13" s="29"/>
      <c r="E13" s="3"/>
      <c r="F13" s="4"/>
      <c r="G13" s="5"/>
    </row>
    <row r="14" spans="2:7" s="6" customFormat="1" ht="24" customHeight="1">
      <c r="B14" s="28">
        <v>10</v>
      </c>
      <c r="C14" s="29"/>
      <c r="D14" s="29"/>
      <c r="E14" s="3"/>
      <c r="F14" s="4"/>
      <c r="G14" s="5"/>
    </row>
    <row r="15" spans="2:7" s="6" customFormat="1" ht="24" customHeight="1">
      <c r="B15" s="30">
        <v>11</v>
      </c>
      <c r="C15" s="31"/>
      <c r="D15" s="29"/>
      <c r="E15" s="7"/>
      <c r="F15" s="8"/>
      <c r="G15" s="9"/>
    </row>
    <row r="16" spans="2:7" s="6" customFormat="1" ht="24" customHeight="1" thickBot="1">
      <c r="B16" s="32">
        <v>12</v>
      </c>
      <c r="C16" s="33"/>
      <c r="D16" s="33"/>
      <c r="E16" s="10"/>
      <c r="F16" s="11"/>
      <c r="G16" s="12"/>
    </row>
  </sheetData>
  <mergeCells count="2">
    <mergeCell ref="B2:G2"/>
    <mergeCell ref="B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8C63-B8AA-5645-92C7-7D951CBB83F5}">
  <dimension ref="A2:DK31"/>
  <sheetViews>
    <sheetView tabSelected="1" workbookViewId="0">
      <selection activeCell="G15" sqref="G15:H15"/>
    </sheetView>
  </sheetViews>
  <sheetFormatPr defaultColWidth="7.81640625" defaultRowHeight="24" customHeight="1"/>
  <cols>
    <col min="1" max="1" width="2.453125" style="13" customWidth="1"/>
    <col min="2" max="2" width="24.453125" style="13" customWidth="1"/>
    <col min="3" max="3" width="23.26953125" style="13" customWidth="1"/>
    <col min="4" max="4" width="24.453125" style="13" customWidth="1"/>
    <col min="5" max="5" width="23.26953125" style="13" customWidth="1"/>
    <col min="6" max="6" width="1.54296875" style="13" customWidth="1"/>
    <col min="7" max="7" width="24.1796875" style="13" customWidth="1"/>
    <col min="8" max="8" width="22.7265625" style="13" customWidth="1"/>
    <col min="9" max="12" width="12.453125" style="13" customWidth="1"/>
    <col min="13" max="16384" width="7.81640625" style="13"/>
  </cols>
  <sheetData>
    <row r="2" spans="1:115" ht="24" customHeight="1">
      <c r="A2" s="14"/>
      <c r="B2" s="129" t="s">
        <v>13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5"/>
      <c r="N2" s="15"/>
      <c r="O2" s="15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</row>
    <row r="3" spans="1:115" ht="24" customHeight="1" thickBot="1">
      <c r="B3" s="130"/>
      <c r="C3" s="130"/>
      <c r="D3" s="130"/>
      <c r="E3" s="130"/>
      <c r="F3" s="130"/>
      <c r="G3" s="130"/>
      <c r="H3" s="130"/>
    </row>
    <row r="4" spans="1:115" ht="24" customHeight="1">
      <c r="B4" s="131" t="s">
        <v>14</v>
      </c>
      <c r="C4" s="132"/>
      <c r="D4" s="132"/>
      <c r="E4" s="133"/>
      <c r="G4" s="131" t="s">
        <v>15</v>
      </c>
      <c r="H4" s="132"/>
      <c r="I4" s="132"/>
      <c r="J4" s="134"/>
      <c r="K4" s="134"/>
      <c r="L4" s="133"/>
    </row>
    <row r="5" spans="1:115" ht="24" customHeight="1">
      <c r="B5" s="109" t="s">
        <v>16</v>
      </c>
      <c r="C5" s="135" t="s">
        <v>90</v>
      </c>
      <c r="D5" s="135"/>
      <c r="E5" s="136"/>
      <c r="G5" s="137" t="s">
        <v>17</v>
      </c>
      <c r="H5" s="135"/>
      <c r="I5" s="135"/>
      <c r="J5" s="138"/>
      <c r="K5" s="138"/>
      <c r="L5" s="136"/>
    </row>
    <row r="6" spans="1:115" ht="24" customHeight="1">
      <c r="B6" s="109" t="s">
        <v>18</v>
      </c>
      <c r="C6" s="16"/>
      <c r="D6" s="109" t="s">
        <v>19</v>
      </c>
      <c r="E6" s="17"/>
      <c r="G6" s="137"/>
      <c r="H6" s="135"/>
      <c r="I6" s="135"/>
      <c r="J6" s="138"/>
      <c r="K6" s="138"/>
      <c r="L6" s="136"/>
    </row>
    <row r="7" spans="1:115" ht="24" customHeight="1">
      <c r="B7" s="109" t="s">
        <v>20</v>
      </c>
      <c r="C7" s="16"/>
      <c r="D7" s="109" t="s">
        <v>21</v>
      </c>
      <c r="E7" s="18"/>
      <c r="G7" s="109" t="s">
        <v>22</v>
      </c>
      <c r="H7" s="139"/>
      <c r="I7" s="140"/>
      <c r="J7" s="140"/>
      <c r="K7" s="139"/>
      <c r="L7" s="141"/>
    </row>
    <row r="8" spans="1:115" ht="24" customHeight="1" thickBot="1">
      <c r="B8" s="110" t="s">
        <v>23</v>
      </c>
      <c r="C8" s="19"/>
      <c r="D8" s="110" t="s">
        <v>24</v>
      </c>
      <c r="E8" s="20"/>
      <c r="G8" s="110" t="s">
        <v>25</v>
      </c>
      <c r="H8" s="21"/>
      <c r="I8" s="142" t="s">
        <v>26</v>
      </c>
      <c r="J8" s="143"/>
      <c r="K8" s="144"/>
      <c r="L8" s="145"/>
    </row>
    <row r="9" spans="1:115" ht="24" customHeight="1" thickBot="1"/>
    <row r="10" spans="1:115" ht="24" customHeight="1">
      <c r="B10" s="131" t="s">
        <v>27</v>
      </c>
      <c r="C10" s="132"/>
      <c r="D10" s="132"/>
      <c r="E10" s="133"/>
      <c r="G10" s="131" t="s">
        <v>28</v>
      </c>
      <c r="H10" s="132"/>
      <c r="I10" s="132"/>
      <c r="J10" s="134"/>
      <c r="K10" s="134"/>
      <c r="L10" s="133"/>
    </row>
    <row r="11" spans="1:115" ht="24" customHeight="1">
      <c r="B11" s="146" t="s">
        <v>38</v>
      </c>
      <c r="C11" s="147"/>
      <c r="D11" s="147"/>
      <c r="E11" s="148"/>
      <c r="G11" s="146" t="s">
        <v>40</v>
      </c>
      <c r="H11" s="149"/>
      <c r="I11" s="149"/>
      <c r="J11" s="150"/>
      <c r="K11" s="150"/>
      <c r="L11" s="151"/>
    </row>
    <row r="12" spans="1:115" ht="24" customHeight="1">
      <c r="B12" s="152"/>
      <c r="C12" s="153"/>
      <c r="D12" s="153"/>
      <c r="E12" s="154"/>
      <c r="G12" s="34" t="s">
        <v>29</v>
      </c>
      <c r="H12" s="18"/>
      <c r="I12" s="155" t="s">
        <v>30</v>
      </c>
      <c r="J12" s="156"/>
      <c r="K12" s="157"/>
      <c r="L12" s="158"/>
    </row>
    <row r="13" spans="1:115" ht="24" customHeight="1">
      <c r="B13" s="152"/>
      <c r="C13" s="153"/>
      <c r="D13" s="153"/>
      <c r="E13" s="154"/>
      <c r="G13" s="34" t="s">
        <v>31</v>
      </c>
      <c r="H13" s="18"/>
      <c r="I13" s="155" t="s">
        <v>32</v>
      </c>
      <c r="J13" s="156"/>
      <c r="K13" s="157"/>
      <c r="L13" s="158"/>
    </row>
    <row r="14" spans="1:115" ht="24" customHeight="1">
      <c r="B14" s="152"/>
      <c r="C14" s="153"/>
      <c r="D14" s="153"/>
      <c r="E14" s="154"/>
      <c r="G14" s="146" t="s">
        <v>41</v>
      </c>
      <c r="H14" s="149"/>
      <c r="I14" s="149"/>
      <c r="J14" s="150"/>
      <c r="K14" s="150"/>
      <c r="L14" s="151"/>
    </row>
    <row r="15" spans="1:115" ht="24" customHeight="1">
      <c r="B15" s="152"/>
      <c r="C15" s="153"/>
      <c r="D15" s="153"/>
      <c r="E15" s="154"/>
      <c r="G15" s="162" t="s">
        <v>33</v>
      </c>
      <c r="H15" s="163"/>
      <c r="I15" s="35" t="s">
        <v>34</v>
      </c>
      <c r="J15" s="36" t="s">
        <v>35</v>
      </c>
      <c r="K15" s="36" t="s">
        <v>42</v>
      </c>
      <c r="L15" s="37" t="s">
        <v>43</v>
      </c>
    </row>
    <row r="16" spans="1:115" ht="24" customHeight="1">
      <c r="B16" s="152"/>
      <c r="C16" s="153"/>
      <c r="D16" s="153"/>
      <c r="E16" s="154"/>
      <c r="G16" s="159"/>
      <c r="H16" s="160"/>
      <c r="I16" s="22"/>
      <c r="J16" s="23"/>
      <c r="K16" s="23"/>
      <c r="L16" s="24"/>
    </row>
    <row r="17" spans="2:12" ht="24" customHeight="1">
      <c r="B17" s="146" t="s">
        <v>39</v>
      </c>
      <c r="C17" s="147"/>
      <c r="D17" s="147"/>
      <c r="E17" s="148"/>
      <c r="G17" s="159"/>
      <c r="H17" s="160"/>
      <c r="I17" s="22"/>
      <c r="J17" s="23"/>
      <c r="K17" s="23"/>
      <c r="L17" s="24"/>
    </row>
    <row r="18" spans="2:12" ht="24" customHeight="1">
      <c r="B18" s="159"/>
      <c r="C18" s="160"/>
      <c r="D18" s="160"/>
      <c r="E18" s="161"/>
      <c r="G18" s="159"/>
      <c r="H18" s="160"/>
      <c r="I18" s="22"/>
      <c r="J18" s="23"/>
      <c r="K18" s="23"/>
      <c r="L18" s="24"/>
    </row>
    <row r="19" spans="2:12" ht="24" customHeight="1">
      <c r="B19" s="159"/>
      <c r="C19" s="160"/>
      <c r="D19" s="160"/>
      <c r="E19" s="161"/>
      <c r="G19" s="159"/>
      <c r="H19" s="160"/>
      <c r="I19" s="22"/>
      <c r="J19" s="23"/>
      <c r="K19" s="23"/>
      <c r="L19" s="24"/>
    </row>
    <row r="20" spans="2:12" ht="24" customHeight="1">
      <c r="B20" s="159"/>
      <c r="C20" s="160"/>
      <c r="D20" s="160"/>
      <c r="E20" s="161"/>
      <c r="G20" s="159"/>
      <c r="H20" s="160"/>
      <c r="I20" s="22"/>
      <c r="J20" s="23"/>
      <c r="K20" s="23"/>
      <c r="L20" s="24"/>
    </row>
    <row r="21" spans="2:12" ht="24" customHeight="1" thickBot="1">
      <c r="B21" s="167"/>
      <c r="C21" s="168"/>
      <c r="D21" s="168"/>
      <c r="E21" s="169"/>
      <c r="G21" s="167"/>
      <c r="H21" s="168"/>
      <c r="I21" s="25"/>
      <c r="J21" s="26"/>
      <c r="K21" s="26"/>
      <c r="L21" s="27"/>
    </row>
    <row r="22" spans="2:12" ht="24" customHeight="1" thickBot="1"/>
    <row r="23" spans="2:12" ht="24" customHeight="1">
      <c r="B23" s="131" t="s">
        <v>36</v>
      </c>
      <c r="C23" s="132"/>
      <c r="D23" s="132"/>
      <c r="E23" s="133"/>
      <c r="G23" s="131" t="s">
        <v>37</v>
      </c>
      <c r="H23" s="132"/>
      <c r="I23" s="132"/>
      <c r="J23" s="134"/>
      <c r="K23" s="134"/>
      <c r="L23" s="133"/>
    </row>
    <row r="24" spans="2:12" ht="24" customHeight="1">
      <c r="B24" s="146" t="s">
        <v>44</v>
      </c>
      <c r="C24" s="149"/>
      <c r="D24" s="149"/>
      <c r="E24" s="151"/>
      <c r="G24" s="164"/>
      <c r="H24" s="165"/>
      <c r="I24" s="165"/>
      <c r="J24" s="165"/>
      <c r="K24" s="165"/>
      <c r="L24" s="166"/>
    </row>
    <row r="25" spans="2:12" ht="24" customHeight="1">
      <c r="B25" s="170"/>
      <c r="C25" s="171"/>
      <c r="D25" s="171"/>
      <c r="E25" s="172"/>
      <c r="G25" s="173"/>
      <c r="H25" s="174"/>
      <c r="I25" s="174"/>
      <c r="J25" s="174"/>
      <c r="K25" s="174"/>
      <c r="L25" s="175"/>
    </row>
    <row r="26" spans="2:12" ht="24" customHeight="1">
      <c r="B26" s="170"/>
      <c r="C26" s="171"/>
      <c r="D26" s="171"/>
      <c r="E26" s="172"/>
      <c r="G26" s="173"/>
      <c r="H26" s="174"/>
      <c r="I26" s="174"/>
      <c r="J26" s="174"/>
      <c r="K26" s="174"/>
      <c r="L26" s="175"/>
    </row>
    <row r="27" spans="2:12" ht="24" customHeight="1">
      <c r="B27" s="170"/>
      <c r="C27" s="171"/>
      <c r="D27" s="171"/>
      <c r="E27" s="172"/>
      <c r="G27" s="173"/>
      <c r="H27" s="174"/>
      <c r="I27" s="174"/>
      <c r="J27" s="174"/>
      <c r="K27" s="174"/>
      <c r="L27" s="175"/>
    </row>
    <row r="28" spans="2:12" ht="24" customHeight="1">
      <c r="B28" s="170"/>
      <c r="C28" s="171"/>
      <c r="D28" s="171"/>
      <c r="E28" s="172"/>
      <c r="G28" s="173"/>
      <c r="H28" s="174"/>
      <c r="I28" s="174"/>
      <c r="J28" s="174"/>
      <c r="K28" s="174"/>
      <c r="L28" s="175"/>
    </row>
    <row r="29" spans="2:12" ht="24" customHeight="1">
      <c r="B29" s="170"/>
      <c r="C29" s="171"/>
      <c r="D29" s="171"/>
      <c r="E29" s="172"/>
      <c r="G29" s="173"/>
      <c r="H29" s="174"/>
      <c r="I29" s="174"/>
      <c r="J29" s="174"/>
      <c r="K29" s="174"/>
      <c r="L29" s="175"/>
    </row>
    <row r="30" spans="2:12" ht="24" customHeight="1">
      <c r="B30" s="170"/>
      <c r="C30" s="171"/>
      <c r="D30" s="171"/>
      <c r="E30" s="172"/>
      <c r="G30" s="173"/>
      <c r="H30" s="174"/>
      <c r="I30" s="174"/>
      <c r="J30" s="174"/>
      <c r="K30" s="174"/>
      <c r="L30" s="175"/>
    </row>
    <row r="31" spans="2:12" ht="24" customHeight="1" thickBot="1">
      <c r="B31" s="176"/>
      <c r="C31" s="177"/>
      <c r="D31" s="177"/>
      <c r="E31" s="178"/>
      <c r="G31" s="179"/>
      <c r="H31" s="180"/>
      <c r="I31" s="180"/>
      <c r="J31" s="180"/>
      <c r="K31" s="180"/>
      <c r="L31" s="181"/>
    </row>
  </sheetData>
  <mergeCells count="64">
    <mergeCell ref="B31:E31"/>
    <mergeCell ref="G31:L31"/>
    <mergeCell ref="B28:E28"/>
    <mergeCell ref="G28:L28"/>
    <mergeCell ref="B29:E29"/>
    <mergeCell ref="G29:L29"/>
    <mergeCell ref="B30:E30"/>
    <mergeCell ref="G30:L30"/>
    <mergeCell ref="B25:E25"/>
    <mergeCell ref="G25:L25"/>
    <mergeCell ref="B26:E26"/>
    <mergeCell ref="G26:L26"/>
    <mergeCell ref="B27:E27"/>
    <mergeCell ref="G27:L27"/>
    <mergeCell ref="B23:E23"/>
    <mergeCell ref="G23:L23"/>
    <mergeCell ref="B24:E24"/>
    <mergeCell ref="G24:L24"/>
    <mergeCell ref="B20:C20"/>
    <mergeCell ref="D20:E20"/>
    <mergeCell ref="G20:H20"/>
    <mergeCell ref="B21:C21"/>
    <mergeCell ref="D21:E21"/>
    <mergeCell ref="G21:H21"/>
    <mergeCell ref="B19:C19"/>
    <mergeCell ref="D19:E19"/>
    <mergeCell ref="G19:H19"/>
    <mergeCell ref="B15:C15"/>
    <mergeCell ref="D15:E15"/>
    <mergeCell ref="G15:H15"/>
    <mergeCell ref="B16:C16"/>
    <mergeCell ref="D16:E16"/>
    <mergeCell ref="G16:H16"/>
    <mergeCell ref="B17:E17"/>
    <mergeCell ref="G17:H17"/>
    <mergeCell ref="B18:C18"/>
    <mergeCell ref="D18:E18"/>
    <mergeCell ref="G18:H18"/>
    <mergeCell ref="B13:C13"/>
    <mergeCell ref="D13:E13"/>
    <mergeCell ref="I13:J13"/>
    <mergeCell ref="K13:L13"/>
    <mergeCell ref="B14:C14"/>
    <mergeCell ref="D14:E14"/>
    <mergeCell ref="G14:L14"/>
    <mergeCell ref="B11:E11"/>
    <mergeCell ref="G11:L11"/>
    <mergeCell ref="B12:C12"/>
    <mergeCell ref="D12:E12"/>
    <mergeCell ref="I12:J12"/>
    <mergeCell ref="K12:L12"/>
    <mergeCell ref="H7:J7"/>
    <mergeCell ref="K7:L7"/>
    <mergeCell ref="I8:J8"/>
    <mergeCell ref="K8:L8"/>
    <mergeCell ref="B10:E10"/>
    <mergeCell ref="G10:L10"/>
    <mergeCell ref="B2:L2"/>
    <mergeCell ref="B3:H3"/>
    <mergeCell ref="B4:E4"/>
    <mergeCell ref="G4:L4"/>
    <mergeCell ref="C5:E5"/>
    <mergeCell ref="G5:G6"/>
    <mergeCell ref="H5:L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536D-2165-4146-B206-EF5447953A24}">
  <dimension ref="A2:DI28"/>
  <sheetViews>
    <sheetView workbookViewId="0">
      <selection activeCell="F12" sqref="F12"/>
    </sheetView>
  </sheetViews>
  <sheetFormatPr defaultColWidth="7.81640625" defaultRowHeight="24" customHeight="1"/>
  <cols>
    <col min="1" max="1" width="2.453125" style="13" customWidth="1"/>
    <col min="2" max="2" width="13.7265625" style="13" customWidth="1"/>
    <col min="3" max="3" width="18.453125" style="13" customWidth="1"/>
    <col min="4" max="4" width="33.81640625" style="13" customWidth="1"/>
    <col min="5" max="6" width="21.26953125" style="13" customWidth="1"/>
    <col min="7" max="7" width="12.453125" style="13" customWidth="1"/>
    <col min="8" max="8" width="13.81640625" style="13" customWidth="1"/>
    <col min="9" max="9" width="18.453125" style="13" customWidth="1"/>
    <col min="10" max="10" width="23.81640625" style="13" customWidth="1"/>
    <col min="11" max="11" width="31.26953125" style="13" customWidth="1"/>
    <col min="12" max="16384" width="7.81640625" style="13"/>
  </cols>
  <sheetData>
    <row r="2" spans="1:113" ht="24" customHeight="1">
      <c r="A2" s="14"/>
      <c r="B2" s="129" t="str">
        <f>CONCATENATE("Change Requests for ",'2. Project Plan'!C5)</f>
        <v>Change Requests for Example Project</v>
      </c>
      <c r="C2" s="129"/>
      <c r="D2" s="129"/>
      <c r="E2" s="129"/>
      <c r="F2" s="105"/>
      <c r="G2" s="105"/>
      <c r="H2" s="105"/>
      <c r="I2" s="105"/>
      <c r="J2" s="105"/>
      <c r="K2" s="105"/>
      <c r="L2" s="15"/>
      <c r="M2" s="15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</row>
    <row r="3" spans="1:113" ht="24" customHeight="1" thickBot="1">
      <c r="B3" s="182"/>
      <c r="C3" s="182"/>
      <c r="D3" s="182"/>
      <c r="E3" s="182"/>
      <c r="F3" s="182"/>
    </row>
    <row r="4" spans="1:113" ht="24" customHeight="1">
      <c r="B4" s="106" t="s">
        <v>54</v>
      </c>
      <c r="C4" s="107" t="s">
        <v>45</v>
      </c>
      <c r="D4" s="107" t="s">
        <v>46</v>
      </c>
      <c r="E4" s="107" t="s">
        <v>47</v>
      </c>
      <c r="F4" s="107" t="s">
        <v>48</v>
      </c>
      <c r="G4" s="107" t="s">
        <v>49</v>
      </c>
      <c r="H4" s="107" t="s">
        <v>50</v>
      </c>
      <c r="I4" s="107" t="s">
        <v>51</v>
      </c>
      <c r="J4" s="107" t="s">
        <v>52</v>
      </c>
      <c r="K4" s="108" t="s">
        <v>53</v>
      </c>
    </row>
    <row r="5" spans="1:113" ht="24" customHeight="1">
      <c r="B5" s="38"/>
      <c r="C5" s="16"/>
      <c r="D5" s="16"/>
      <c r="E5" s="16"/>
      <c r="F5" s="39"/>
      <c r="G5" s="39"/>
      <c r="H5" s="40"/>
      <c r="I5" s="16"/>
      <c r="J5" s="16"/>
      <c r="K5" s="17"/>
    </row>
    <row r="6" spans="1:113" ht="24" customHeight="1">
      <c r="B6" s="38"/>
      <c r="C6" s="16"/>
      <c r="D6" s="16"/>
      <c r="E6" s="16"/>
      <c r="F6" s="39"/>
      <c r="G6" s="39"/>
      <c r="H6" s="40"/>
      <c r="I6" s="16"/>
      <c r="J6" s="16"/>
      <c r="K6" s="17"/>
    </row>
    <row r="7" spans="1:113" ht="24" customHeight="1">
      <c r="B7" s="38"/>
      <c r="C7" s="16"/>
      <c r="D7" s="16"/>
      <c r="E7" s="16"/>
      <c r="F7" s="39"/>
      <c r="G7" s="39"/>
      <c r="H7" s="16"/>
      <c r="I7" s="16"/>
      <c r="J7" s="16"/>
      <c r="K7" s="17"/>
    </row>
    <row r="8" spans="1:113" ht="24" customHeight="1">
      <c r="B8" s="38"/>
      <c r="C8" s="16"/>
      <c r="D8" s="16"/>
      <c r="E8" s="16"/>
      <c r="F8" s="39"/>
      <c r="G8" s="39"/>
      <c r="H8" s="16"/>
      <c r="I8" s="16"/>
      <c r="J8" s="16"/>
      <c r="K8" s="17"/>
    </row>
    <row r="9" spans="1:113" ht="24" customHeight="1">
      <c r="B9" s="38"/>
      <c r="C9" s="16"/>
      <c r="D9" s="16"/>
      <c r="E9" s="16"/>
      <c r="F9" s="39"/>
      <c r="G9" s="39"/>
      <c r="H9" s="16"/>
      <c r="I9" s="16"/>
      <c r="J9" s="16"/>
      <c r="K9" s="17"/>
    </row>
    <row r="10" spans="1:113" ht="24" customHeight="1">
      <c r="B10" s="38"/>
      <c r="C10" s="16"/>
      <c r="D10" s="16"/>
      <c r="E10" s="16"/>
      <c r="F10" s="39"/>
      <c r="G10" s="39"/>
      <c r="H10" s="16"/>
      <c r="I10" s="16"/>
      <c r="J10" s="16"/>
      <c r="K10" s="17"/>
    </row>
    <row r="11" spans="1:113" ht="24" customHeight="1">
      <c r="B11" s="38"/>
      <c r="C11" s="16"/>
      <c r="D11" s="16"/>
      <c r="E11" s="16"/>
      <c r="F11" s="39"/>
      <c r="G11" s="39"/>
      <c r="H11" s="16"/>
      <c r="I11" s="16"/>
      <c r="J11" s="16"/>
      <c r="K11" s="17"/>
    </row>
    <row r="12" spans="1:113" ht="24" customHeight="1">
      <c r="B12" s="38"/>
      <c r="C12" s="16"/>
      <c r="D12" s="16"/>
      <c r="E12" s="16"/>
      <c r="F12" s="39"/>
      <c r="G12" s="39"/>
      <c r="H12" s="16"/>
      <c r="I12" s="16"/>
      <c r="J12" s="16"/>
      <c r="K12" s="17"/>
    </row>
    <row r="13" spans="1:113" ht="24" customHeight="1">
      <c r="B13" s="38"/>
      <c r="C13" s="16"/>
      <c r="D13" s="16"/>
      <c r="E13" s="16"/>
      <c r="F13" s="39"/>
      <c r="G13" s="39"/>
      <c r="H13" s="16"/>
      <c r="I13" s="16"/>
      <c r="J13" s="16"/>
      <c r="K13" s="17"/>
    </row>
    <row r="14" spans="1:113" ht="24" customHeight="1">
      <c r="B14" s="38"/>
      <c r="C14" s="16"/>
      <c r="D14" s="16"/>
      <c r="E14" s="16"/>
      <c r="F14" s="39"/>
      <c r="G14" s="39"/>
      <c r="H14" s="16"/>
      <c r="I14" s="16"/>
      <c r="J14" s="16"/>
      <c r="K14" s="17"/>
    </row>
    <row r="15" spans="1:113" ht="24" customHeight="1">
      <c r="B15" s="38"/>
      <c r="C15" s="16"/>
      <c r="D15" s="16"/>
      <c r="E15" s="16"/>
      <c r="F15" s="39"/>
      <c r="G15" s="39"/>
      <c r="H15" s="16"/>
      <c r="I15" s="16"/>
      <c r="J15" s="16"/>
      <c r="K15" s="17"/>
    </row>
    <row r="16" spans="1:113" ht="24" customHeight="1">
      <c r="B16" s="38"/>
      <c r="C16" s="16"/>
      <c r="D16" s="16"/>
      <c r="E16" s="16"/>
      <c r="F16" s="39"/>
      <c r="G16" s="39"/>
      <c r="H16" s="16"/>
      <c r="I16" s="16"/>
      <c r="J16" s="16"/>
      <c r="K16" s="17"/>
    </row>
    <row r="17" spans="2:11" ht="24" customHeight="1">
      <c r="B17" s="38"/>
      <c r="C17" s="16"/>
      <c r="D17" s="16"/>
      <c r="E17" s="16"/>
      <c r="F17" s="39"/>
      <c r="G17" s="39"/>
      <c r="H17" s="16"/>
      <c r="I17" s="16"/>
      <c r="J17" s="16"/>
      <c r="K17" s="17"/>
    </row>
    <row r="18" spans="2:11" ht="24" customHeight="1">
      <c r="B18" s="38"/>
      <c r="C18" s="16"/>
      <c r="D18" s="16"/>
      <c r="E18" s="16"/>
      <c r="F18" s="39"/>
      <c r="G18" s="39"/>
      <c r="H18" s="16"/>
      <c r="I18" s="16"/>
      <c r="J18" s="16"/>
      <c r="K18" s="17"/>
    </row>
    <row r="19" spans="2:11" ht="24" customHeight="1">
      <c r="B19" s="38"/>
      <c r="C19" s="16"/>
      <c r="D19" s="16"/>
      <c r="E19" s="16"/>
      <c r="F19" s="39"/>
      <c r="G19" s="39"/>
      <c r="H19" s="16"/>
      <c r="I19" s="16"/>
      <c r="J19" s="16"/>
      <c r="K19" s="17"/>
    </row>
    <row r="20" spans="2:11" ht="24" customHeight="1">
      <c r="B20" s="38"/>
      <c r="C20" s="16"/>
      <c r="D20" s="16"/>
      <c r="E20" s="16"/>
      <c r="F20" s="39"/>
      <c r="G20" s="39"/>
      <c r="H20" s="16"/>
      <c r="I20" s="16"/>
      <c r="J20" s="16"/>
      <c r="K20" s="17"/>
    </row>
    <row r="21" spans="2:11" ht="24" customHeight="1">
      <c r="B21" s="38"/>
      <c r="C21" s="16"/>
      <c r="D21" s="16"/>
      <c r="E21" s="16"/>
      <c r="F21" s="39"/>
      <c r="G21" s="39"/>
      <c r="H21" s="16"/>
      <c r="I21" s="16"/>
      <c r="J21" s="16"/>
      <c r="K21" s="17"/>
    </row>
    <row r="22" spans="2:11" ht="24" customHeight="1">
      <c r="B22" s="38"/>
      <c r="C22" s="16"/>
      <c r="D22" s="16"/>
      <c r="E22" s="16"/>
      <c r="F22" s="39"/>
      <c r="G22" s="39"/>
      <c r="H22" s="16"/>
      <c r="I22" s="16"/>
      <c r="J22" s="16"/>
      <c r="K22" s="17"/>
    </row>
    <row r="23" spans="2:11" ht="24" customHeight="1">
      <c r="B23" s="38"/>
      <c r="C23" s="16"/>
      <c r="D23" s="16"/>
      <c r="E23" s="16"/>
      <c r="F23" s="39"/>
      <c r="G23" s="39"/>
      <c r="H23" s="16"/>
      <c r="I23" s="16"/>
      <c r="J23" s="16"/>
      <c r="K23" s="17"/>
    </row>
    <row r="24" spans="2:11" ht="24" customHeight="1">
      <c r="B24" s="38"/>
      <c r="C24" s="16"/>
      <c r="D24" s="16"/>
      <c r="E24" s="16"/>
      <c r="F24" s="39"/>
      <c r="G24" s="39"/>
      <c r="H24" s="16"/>
      <c r="I24" s="16"/>
      <c r="J24" s="16"/>
      <c r="K24" s="17"/>
    </row>
    <row r="25" spans="2:11" ht="24" customHeight="1">
      <c r="B25" s="38"/>
      <c r="C25" s="16"/>
      <c r="D25" s="16"/>
      <c r="E25" s="16"/>
      <c r="F25" s="39"/>
      <c r="G25" s="39"/>
      <c r="H25" s="16"/>
      <c r="I25" s="16"/>
      <c r="J25" s="16"/>
      <c r="K25" s="17"/>
    </row>
    <row r="26" spans="2:11" ht="24" customHeight="1">
      <c r="B26" s="38"/>
      <c r="C26" s="16"/>
      <c r="D26" s="16"/>
      <c r="E26" s="16"/>
      <c r="F26" s="39"/>
      <c r="G26" s="39"/>
      <c r="H26" s="16"/>
      <c r="I26" s="16"/>
      <c r="J26" s="16"/>
      <c r="K26" s="17"/>
    </row>
    <row r="27" spans="2:11" ht="24" customHeight="1">
      <c r="B27" s="38"/>
      <c r="C27" s="16"/>
      <c r="D27" s="16"/>
      <c r="E27" s="16"/>
      <c r="F27" s="39"/>
      <c r="G27" s="39"/>
      <c r="H27" s="16"/>
      <c r="I27" s="16"/>
      <c r="J27" s="16"/>
      <c r="K27" s="17"/>
    </row>
    <row r="28" spans="2:11" ht="24" customHeight="1" thickBot="1">
      <c r="B28" s="41"/>
      <c r="C28" s="19"/>
      <c r="D28" s="19"/>
      <c r="E28" s="19"/>
      <c r="F28" s="42"/>
      <c r="G28" s="42"/>
      <c r="H28" s="19"/>
      <c r="I28" s="19"/>
      <c r="J28" s="19"/>
      <c r="K28" s="20"/>
    </row>
  </sheetData>
  <mergeCells count="2">
    <mergeCell ref="B2:E2"/>
    <mergeCell ref="B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CD418-44A4-D944-AEEF-3E07DE0F4E19}">
  <dimension ref="A2:CB22"/>
  <sheetViews>
    <sheetView zoomScaleNormal="100" workbookViewId="0">
      <selection activeCell="G27" sqref="G27"/>
    </sheetView>
  </sheetViews>
  <sheetFormatPr defaultColWidth="7.81640625" defaultRowHeight="24" customHeight="1"/>
  <cols>
    <col min="1" max="1" width="2.453125" style="13" customWidth="1"/>
    <col min="2" max="2" width="29.54296875" style="48" customWidth="1"/>
    <col min="3" max="3" width="29.54296875" style="13" customWidth="1"/>
    <col min="4" max="4" width="3" style="13" customWidth="1"/>
    <col min="5" max="5" width="22" style="13" customWidth="1"/>
    <col min="6" max="20" width="9.81640625" style="13" customWidth="1"/>
    <col min="21" max="16384" width="7.81640625" style="13"/>
  </cols>
  <sheetData>
    <row r="2" spans="1:80" ht="24" customHeight="1">
      <c r="A2" s="14"/>
      <c r="B2" s="111" t="str">
        <f>CONCATENATE("Roles and Responsibilities for ",'2. Project Plan'!C5)</f>
        <v>Roles and Responsibilities for Example Project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</row>
    <row r="3" spans="1:80" ht="24" customHeight="1" thickBot="1">
      <c r="B3" s="182"/>
      <c r="C3" s="182"/>
      <c r="D3" s="4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4"/>
      <c r="R3" s="14"/>
      <c r="S3" s="14"/>
      <c r="T3" s="14"/>
    </row>
    <row r="4" spans="1:80" ht="24" customHeight="1">
      <c r="B4" s="131" t="s">
        <v>55</v>
      </c>
      <c r="C4" s="133"/>
      <c r="E4" s="184" t="s">
        <v>56</v>
      </c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6"/>
    </row>
    <row r="5" spans="1:80" ht="24" customHeight="1">
      <c r="B5" s="112" t="s">
        <v>70</v>
      </c>
      <c r="C5" s="113" t="s">
        <v>57</v>
      </c>
      <c r="E5" s="70" t="s">
        <v>58</v>
      </c>
      <c r="F5" s="69" t="str">
        <f>B6</f>
        <v>Name</v>
      </c>
      <c r="G5" s="69" t="str">
        <f>B7</f>
        <v>Name</v>
      </c>
      <c r="H5" s="69" t="str">
        <f>B8</f>
        <v>Name</v>
      </c>
      <c r="I5" s="69" t="str">
        <f>B9</f>
        <v>Name</v>
      </c>
      <c r="J5" s="69" t="str">
        <f>B10</f>
        <v>Name</v>
      </c>
      <c r="K5" s="69" t="str">
        <f>B12</f>
        <v>Name</v>
      </c>
      <c r="L5" s="69" t="str">
        <f>B13</f>
        <v>Name</v>
      </c>
      <c r="M5" s="69" t="str">
        <f>B14</f>
        <v>Name</v>
      </c>
      <c r="N5" s="69" t="str">
        <f>B15</f>
        <v>Name</v>
      </c>
      <c r="O5" s="69" t="str">
        <f>B16</f>
        <v>Name</v>
      </c>
      <c r="P5" s="69" t="str">
        <f>B18</f>
        <v>Name</v>
      </c>
      <c r="Q5" s="69" t="str">
        <f>B19</f>
        <v>Name</v>
      </c>
      <c r="R5" s="69" t="str">
        <f>B20</f>
        <v>Name</v>
      </c>
      <c r="S5" s="69" t="str">
        <f>B21</f>
        <v>Name</v>
      </c>
      <c r="T5" s="69" t="str">
        <f>B22</f>
        <v>Name</v>
      </c>
    </row>
    <row r="6" spans="1:80" ht="24" customHeight="1">
      <c r="B6" s="49" t="s">
        <v>67</v>
      </c>
      <c r="C6" s="51" t="s">
        <v>68</v>
      </c>
      <c r="E6" s="54" t="s">
        <v>1</v>
      </c>
      <c r="F6" s="44" t="s">
        <v>59</v>
      </c>
      <c r="G6" s="44" t="s">
        <v>60</v>
      </c>
      <c r="H6" s="44"/>
      <c r="I6" s="44" t="s">
        <v>61</v>
      </c>
      <c r="J6" s="44" t="s">
        <v>62</v>
      </c>
      <c r="K6" s="44" t="s">
        <v>62</v>
      </c>
      <c r="L6" s="44" t="s">
        <v>61</v>
      </c>
      <c r="M6" s="44"/>
      <c r="N6" s="44"/>
      <c r="O6" s="44"/>
      <c r="P6" s="44"/>
      <c r="Q6" s="44"/>
      <c r="R6" s="44"/>
      <c r="S6" s="44"/>
      <c r="T6" s="45"/>
    </row>
    <row r="7" spans="1:80" ht="24" customHeight="1">
      <c r="B7" s="49" t="s">
        <v>67</v>
      </c>
      <c r="C7" s="51" t="s">
        <v>68</v>
      </c>
      <c r="E7" s="54" t="s">
        <v>1</v>
      </c>
      <c r="F7" s="44" t="s">
        <v>59</v>
      </c>
      <c r="G7" s="44" t="s">
        <v>60</v>
      </c>
      <c r="H7" s="44"/>
      <c r="I7" s="44" t="s">
        <v>62</v>
      </c>
      <c r="J7" s="44" t="s">
        <v>61</v>
      </c>
      <c r="K7" s="44"/>
      <c r="L7" s="44" t="s">
        <v>61</v>
      </c>
      <c r="M7" s="44"/>
      <c r="N7" s="44"/>
      <c r="O7" s="44"/>
      <c r="P7" s="44"/>
      <c r="Q7" s="44"/>
      <c r="R7" s="44"/>
      <c r="S7" s="44"/>
      <c r="T7" s="45"/>
    </row>
    <row r="8" spans="1:80" ht="24" customHeight="1">
      <c r="B8" s="49" t="s">
        <v>67</v>
      </c>
      <c r="C8" s="51" t="s">
        <v>68</v>
      </c>
      <c r="E8" s="54" t="s">
        <v>1</v>
      </c>
      <c r="F8" s="44" t="s">
        <v>62</v>
      </c>
      <c r="G8" s="44" t="s">
        <v>59</v>
      </c>
      <c r="H8" s="44"/>
      <c r="I8" s="44" t="s">
        <v>61</v>
      </c>
      <c r="J8" s="44"/>
      <c r="K8" s="44" t="s">
        <v>62</v>
      </c>
      <c r="L8" s="44" t="s">
        <v>60</v>
      </c>
      <c r="M8" s="44"/>
      <c r="N8" s="44"/>
      <c r="O8" s="44"/>
      <c r="P8" s="44"/>
      <c r="Q8" s="44"/>
      <c r="R8" s="44"/>
      <c r="S8" s="44"/>
      <c r="T8" s="45"/>
    </row>
    <row r="9" spans="1:80" ht="24" customHeight="1">
      <c r="B9" s="49" t="s">
        <v>67</v>
      </c>
      <c r="C9" s="51" t="s">
        <v>68</v>
      </c>
      <c r="E9" s="54" t="s">
        <v>1</v>
      </c>
      <c r="F9" s="44"/>
      <c r="G9" s="44" t="s">
        <v>59</v>
      </c>
      <c r="H9" s="44"/>
      <c r="I9" s="44" t="s">
        <v>62</v>
      </c>
      <c r="J9" s="44"/>
      <c r="K9" s="44" t="s">
        <v>60</v>
      </c>
      <c r="L9" s="44" t="s">
        <v>62</v>
      </c>
      <c r="M9" s="44"/>
      <c r="N9" s="44"/>
      <c r="O9" s="44"/>
      <c r="P9" s="44"/>
      <c r="Q9" s="44"/>
      <c r="R9" s="44"/>
      <c r="S9" s="44"/>
      <c r="T9" s="45"/>
    </row>
    <row r="10" spans="1:80" ht="24" customHeight="1">
      <c r="B10" s="49" t="s">
        <v>67</v>
      </c>
      <c r="C10" s="51" t="s">
        <v>68</v>
      </c>
      <c r="E10" s="54" t="s">
        <v>1</v>
      </c>
      <c r="F10" s="44" t="s">
        <v>61</v>
      </c>
      <c r="G10" s="44" t="s">
        <v>60</v>
      </c>
      <c r="H10" s="44"/>
      <c r="I10" s="44" t="s">
        <v>62</v>
      </c>
      <c r="J10" s="44" t="s">
        <v>59</v>
      </c>
      <c r="K10" s="44"/>
      <c r="L10" s="44" t="s">
        <v>61</v>
      </c>
      <c r="M10" s="44"/>
      <c r="N10" s="44"/>
      <c r="O10" s="44"/>
      <c r="P10" s="44"/>
      <c r="Q10" s="44"/>
      <c r="R10" s="44"/>
      <c r="S10" s="44"/>
      <c r="T10" s="45"/>
    </row>
    <row r="11" spans="1:80" ht="24" customHeight="1">
      <c r="B11" s="112" t="s">
        <v>64</v>
      </c>
      <c r="C11" s="113" t="s">
        <v>65</v>
      </c>
      <c r="E11" s="54" t="s">
        <v>1</v>
      </c>
      <c r="F11" s="44" t="s">
        <v>63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5"/>
    </row>
    <row r="12" spans="1:80" ht="24" customHeight="1">
      <c r="B12" s="49" t="s">
        <v>67</v>
      </c>
      <c r="C12" s="51" t="s">
        <v>68</v>
      </c>
      <c r="E12" s="54" t="s">
        <v>1</v>
      </c>
      <c r="F12" s="44" t="s">
        <v>60</v>
      </c>
      <c r="G12" s="44" t="s">
        <v>61</v>
      </c>
      <c r="H12" s="44"/>
      <c r="I12" s="44" t="s">
        <v>61</v>
      </c>
      <c r="J12" s="44"/>
      <c r="K12" s="44"/>
      <c r="L12" s="44" t="s">
        <v>61</v>
      </c>
      <c r="M12" s="44"/>
      <c r="N12" s="44"/>
      <c r="O12" s="44"/>
      <c r="P12" s="44"/>
      <c r="Q12" s="44"/>
      <c r="R12" s="44"/>
      <c r="S12" s="44"/>
      <c r="T12" s="45"/>
    </row>
    <row r="13" spans="1:80" ht="24" customHeight="1">
      <c r="B13" s="49" t="s">
        <v>67</v>
      </c>
      <c r="C13" s="51" t="s">
        <v>68</v>
      </c>
      <c r="E13" s="5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5"/>
    </row>
    <row r="14" spans="1:80" ht="24" customHeight="1">
      <c r="B14" s="50" t="s">
        <v>67</v>
      </c>
      <c r="C14" s="51" t="s">
        <v>68</v>
      </c>
      <c r="E14" s="5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5"/>
    </row>
    <row r="15" spans="1:80" ht="24" customHeight="1">
      <c r="B15" s="50" t="s">
        <v>67</v>
      </c>
      <c r="C15" s="51" t="s">
        <v>68</v>
      </c>
      <c r="E15" s="5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</row>
    <row r="16" spans="1:80" ht="24" customHeight="1">
      <c r="B16" s="50" t="s">
        <v>67</v>
      </c>
      <c r="C16" s="51" t="s">
        <v>68</v>
      </c>
      <c r="E16" s="5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5"/>
    </row>
    <row r="17" spans="2:20" ht="24" customHeight="1">
      <c r="B17" s="114" t="s">
        <v>69</v>
      </c>
      <c r="C17" s="115" t="s">
        <v>66</v>
      </c>
      <c r="E17" s="5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5"/>
    </row>
    <row r="18" spans="2:20" ht="24" customHeight="1">
      <c r="B18" s="50" t="s">
        <v>67</v>
      </c>
      <c r="C18" s="51" t="s">
        <v>68</v>
      </c>
      <c r="E18" s="5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5"/>
    </row>
    <row r="19" spans="2:20" ht="24" customHeight="1">
      <c r="B19" s="50" t="s">
        <v>67</v>
      </c>
      <c r="C19" s="51" t="s">
        <v>68</v>
      </c>
      <c r="E19" s="5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5"/>
    </row>
    <row r="20" spans="2:20" ht="24" customHeight="1">
      <c r="B20" s="50" t="s">
        <v>67</v>
      </c>
      <c r="C20" s="51" t="s">
        <v>68</v>
      </c>
      <c r="E20" s="5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5"/>
    </row>
    <row r="21" spans="2:20" ht="24" customHeight="1">
      <c r="B21" s="50" t="s">
        <v>67</v>
      </c>
      <c r="C21" s="51" t="s">
        <v>68</v>
      </c>
      <c r="E21" s="5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5"/>
    </row>
    <row r="22" spans="2:20" ht="24" customHeight="1" thickBot="1">
      <c r="B22" s="53" t="s">
        <v>67</v>
      </c>
      <c r="C22" s="52" t="s">
        <v>68</v>
      </c>
      <c r="E22" s="55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7"/>
    </row>
  </sheetData>
  <mergeCells count="4">
    <mergeCell ref="B3:C3"/>
    <mergeCell ref="E3:P3"/>
    <mergeCell ref="B4:C4"/>
    <mergeCell ref="E4:T4"/>
  </mergeCells>
  <dataValidations count="1">
    <dataValidation showInputMessage="1" showErrorMessage="1" sqref="F5:T5" xr:uid="{61981B39-D791-C442-A94A-8D75055414B6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51A6E-277C-FE4F-B5D5-826FAC0A5439}">
  <dimension ref="A2:BT16"/>
  <sheetViews>
    <sheetView workbookViewId="0">
      <selection activeCell="N25" sqref="N25"/>
    </sheetView>
  </sheetViews>
  <sheetFormatPr defaultColWidth="7.54296875" defaultRowHeight="24" customHeight="1"/>
  <cols>
    <col min="1" max="1" width="3" style="57" customWidth="1"/>
    <col min="2" max="2" width="28.1796875" style="57" customWidth="1"/>
    <col min="3" max="3" width="11.26953125" style="57" customWidth="1"/>
    <col min="4" max="4" width="10.1796875" style="57" customWidth="1"/>
    <col min="5" max="5" width="11.81640625" style="57" customWidth="1"/>
    <col min="6" max="6" width="10.54296875" style="57" customWidth="1"/>
    <col min="7" max="7" width="9.1796875" style="57" customWidth="1"/>
    <col min="8" max="8" width="10.453125" style="57" customWidth="1"/>
    <col min="9" max="9" width="9.81640625" style="57" customWidth="1"/>
    <col min="10" max="10" width="9.26953125" style="57" customWidth="1"/>
    <col min="11" max="11" width="10.26953125" style="57" customWidth="1"/>
    <col min="12" max="12" width="9.54296875" style="57" customWidth="1"/>
    <col min="13" max="13" width="9.7265625" style="57" customWidth="1"/>
    <col min="14" max="15" width="10.7265625" style="57" customWidth="1"/>
    <col min="16" max="16" width="14.1796875" style="57" customWidth="1"/>
    <col min="17" max="16384" width="7.54296875" style="57"/>
  </cols>
  <sheetData>
    <row r="2" spans="1:72" s="6" customFormat="1" ht="24" customHeight="1">
      <c r="A2" s="56"/>
      <c r="B2" s="119" t="str">
        <f>CONCATENATE("Budget for ",'2. Project Plan'!C5)</f>
        <v>Budget for Example Project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</row>
    <row r="3" spans="1:72" ht="24" customHeight="1" thickBot="1"/>
    <row r="4" spans="1:72" ht="24" customHeight="1">
      <c r="B4" s="187" t="s">
        <v>71</v>
      </c>
      <c r="C4" s="189" t="s">
        <v>89</v>
      </c>
      <c r="D4" s="189" t="s">
        <v>72</v>
      </c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16" t="s">
        <v>72</v>
      </c>
    </row>
    <row r="5" spans="1:72" ht="24" customHeight="1">
      <c r="B5" s="188"/>
      <c r="C5" s="190"/>
      <c r="D5" s="117" t="s">
        <v>73</v>
      </c>
      <c r="E5" s="117" t="s">
        <v>74</v>
      </c>
      <c r="F5" s="117" t="s">
        <v>75</v>
      </c>
      <c r="G5" s="117" t="s">
        <v>76</v>
      </c>
      <c r="H5" s="117" t="s">
        <v>77</v>
      </c>
      <c r="I5" s="117" t="s">
        <v>78</v>
      </c>
      <c r="J5" s="117" t="s">
        <v>79</v>
      </c>
      <c r="K5" s="117" t="s">
        <v>80</v>
      </c>
      <c r="L5" s="117" t="s">
        <v>81</v>
      </c>
      <c r="M5" s="117" t="s">
        <v>82</v>
      </c>
      <c r="N5" s="117" t="s">
        <v>83</v>
      </c>
      <c r="O5" s="117" t="s">
        <v>84</v>
      </c>
      <c r="P5" s="118" t="s">
        <v>85</v>
      </c>
    </row>
    <row r="6" spans="1:72" ht="24" customHeight="1">
      <c r="B6" s="58" t="s">
        <v>33</v>
      </c>
      <c r="C6" s="59">
        <v>100000</v>
      </c>
      <c r="D6" s="59">
        <v>25000</v>
      </c>
      <c r="E6" s="59">
        <f>D6</f>
        <v>25000</v>
      </c>
      <c r="F6" s="59">
        <f t="shared" ref="F6:O6" si="0">E6</f>
        <v>25000</v>
      </c>
      <c r="G6" s="59">
        <f t="shared" si="0"/>
        <v>25000</v>
      </c>
      <c r="H6" s="59">
        <f t="shared" si="0"/>
        <v>25000</v>
      </c>
      <c r="I6" s="59">
        <f t="shared" si="0"/>
        <v>25000</v>
      </c>
      <c r="J6" s="59">
        <f t="shared" si="0"/>
        <v>25000</v>
      </c>
      <c r="K6" s="59">
        <f t="shared" si="0"/>
        <v>25000</v>
      </c>
      <c r="L6" s="59">
        <f t="shared" si="0"/>
        <v>25000</v>
      </c>
      <c r="M6" s="59">
        <f t="shared" si="0"/>
        <v>25000</v>
      </c>
      <c r="N6" s="59">
        <f t="shared" si="0"/>
        <v>25000</v>
      </c>
      <c r="O6" s="59">
        <f t="shared" si="0"/>
        <v>25000</v>
      </c>
      <c r="P6" s="60">
        <f>SUM(D6:O6)</f>
        <v>300000</v>
      </c>
    </row>
    <row r="7" spans="1:72" ht="24" customHeight="1">
      <c r="B7" s="58" t="s">
        <v>33</v>
      </c>
      <c r="C7" s="59"/>
      <c r="D7" s="59"/>
      <c r="E7" s="59"/>
      <c r="F7" s="59"/>
      <c r="G7" s="59"/>
      <c r="H7" s="59">
        <v>50000</v>
      </c>
      <c r="I7" s="59">
        <v>50000</v>
      </c>
      <c r="J7" s="59">
        <v>50000</v>
      </c>
      <c r="K7" s="59">
        <v>50000</v>
      </c>
      <c r="L7" s="59">
        <v>50000</v>
      </c>
      <c r="M7" s="59">
        <v>50000</v>
      </c>
      <c r="N7" s="59">
        <v>50000</v>
      </c>
      <c r="O7" s="59">
        <v>50000</v>
      </c>
      <c r="P7" s="60">
        <f t="shared" ref="P7:P13" si="1">SUM(D7:O7)</f>
        <v>400000</v>
      </c>
    </row>
    <row r="8" spans="1:72" ht="24" customHeight="1">
      <c r="B8" s="58" t="s">
        <v>33</v>
      </c>
      <c r="C8" s="59"/>
      <c r="D8" s="59"/>
      <c r="E8" s="59"/>
      <c r="F8" s="59"/>
      <c r="G8" s="59"/>
      <c r="H8" s="59"/>
      <c r="I8" s="59"/>
      <c r="J8" s="59">
        <v>175000</v>
      </c>
      <c r="K8" s="59">
        <v>175000</v>
      </c>
      <c r="L8" s="59">
        <v>175000</v>
      </c>
      <c r="M8" s="59"/>
      <c r="N8" s="59"/>
      <c r="O8" s="59"/>
      <c r="P8" s="60">
        <f t="shared" si="1"/>
        <v>525000</v>
      </c>
    </row>
    <row r="9" spans="1:72" ht="24" customHeight="1">
      <c r="B9" s="58" t="s">
        <v>33</v>
      </c>
      <c r="C9" s="59"/>
      <c r="D9" s="59"/>
      <c r="E9" s="59"/>
      <c r="F9" s="59"/>
      <c r="G9" s="59"/>
      <c r="H9" s="59"/>
      <c r="I9" s="59"/>
      <c r="J9" s="59"/>
      <c r="K9" s="59"/>
      <c r="L9" s="59">
        <v>75000</v>
      </c>
      <c r="M9" s="59">
        <v>75000</v>
      </c>
      <c r="N9" s="59">
        <v>75000</v>
      </c>
      <c r="O9" s="59">
        <v>75000</v>
      </c>
      <c r="P9" s="60">
        <f t="shared" si="1"/>
        <v>300000</v>
      </c>
    </row>
    <row r="10" spans="1:72" ht="24" customHeight="1">
      <c r="B10" s="58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60">
        <f t="shared" si="1"/>
        <v>0</v>
      </c>
    </row>
    <row r="11" spans="1:72" ht="24" customHeight="1">
      <c r="B11" s="58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60">
        <f t="shared" si="1"/>
        <v>0</v>
      </c>
    </row>
    <row r="12" spans="1:72" ht="24" customHeight="1"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60">
        <f t="shared" si="1"/>
        <v>0</v>
      </c>
    </row>
    <row r="13" spans="1:72" ht="24" customHeight="1">
      <c r="B13" s="5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60">
        <f t="shared" si="1"/>
        <v>0</v>
      </c>
    </row>
    <row r="14" spans="1:72" ht="24" customHeight="1">
      <c r="B14" s="68" t="s">
        <v>86</v>
      </c>
      <c r="C14" s="61">
        <f t="shared" ref="C14:O14" si="2">SUM(C6:C13)*0.1</f>
        <v>10000</v>
      </c>
      <c r="D14" s="61">
        <f t="shared" si="2"/>
        <v>2500</v>
      </c>
      <c r="E14" s="61">
        <f t="shared" si="2"/>
        <v>2500</v>
      </c>
      <c r="F14" s="61">
        <f t="shared" si="2"/>
        <v>2500</v>
      </c>
      <c r="G14" s="61">
        <f t="shared" si="2"/>
        <v>2500</v>
      </c>
      <c r="H14" s="61">
        <f t="shared" si="2"/>
        <v>7500</v>
      </c>
      <c r="I14" s="61">
        <f t="shared" si="2"/>
        <v>7500</v>
      </c>
      <c r="J14" s="61">
        <f t="shared" si="2"/>
        <v>25000</v>
      </c>
      <c r="K14" s="61">
        <f t="shared" si="2"/>
        <v>25000</v>
      </c>
      <c r="L14" s="61">
        <f t="shared" si="2"/>
        <v>32500</v>
      </c>
      <c r="M14" s="61">
        <f t="shared" si="2"/>
        <v>15000</v>
      </c>
      <c r="N14" s="61">
        <f t="shared" si="2"/>
        <v>15000</v>
      </c>
      <c r="O14" s="61">
        <f t="shared" si="2"/>
        <v>15000</v>
      </c>
      <c r="P14" s="60">
        <f>SUM(D14:O14)</f>
        <v>152500</v>
      </c>
    </row>
    <row r="15" spans="1:72" ht="24" customHeight="1">
      <c r="B15" s="62" t="s">
        <v>87</v>
      </c>
      <c r="C15" s="64">
        <f t="shared" ref="C15:O15" si="3">SUM(C6:C14)</f>
        <v>110000</v>
      </c>
      <c r="D15" s="64">
        <f t="shared" si="3"/>
        <v>27500</v>
      </c>
      <c r="E15" s="64">
        <f t="shared" si="3"/>
        <v>27500</v>
      </c>
      <c r="F15" s="64">
        <f t="shared" si="3"/>
        <v>27500</v>
      </c>
      <c r="G15" s="64">
        <f t="shared" si="3"/>
        <v>27500</v>
      </c>
      <c r="H15" s="64">
        <f t="shared" si="3"/>
        <v>82500</v>
      </c>
      <c r="I15" s="64">
        <f t="shared" si="3"/>
        <v>82500</v>
      </c>
      <c r="J15" s="64">
        <f t="shared" si="3"/>
        <v>275000</v>
      </c>
      <c r="K15" s="64">
        <f t="shared" si="3"/>
        <v>275000</v>
      </c>
      <c r="L15" s="64">
        <f t="shared" si="3"/>
        <v>357500</v>
      </c>
      <c r="M15" s="64">
        <f t="shared" si="3"/>
        <v>165000</v>
      </c>
      <c r="N15" s="64">
        <f t="shared" si="3"/>
        <v>165000</v>
      </c>
      <c r="O15" s="64">
        <f t="shared" si="3"/>
        <v>165000</v>
      </c>
      <c r="P15" s="65">
        <f>SUM(D15:O15)</f>
        <v>1677500</v>
      </c>
    </row>
    <row r="16" spans="1:72" ht="24" customHeight="1" thickBot="1">
      <c r="B16" s="63" t="s">
        <v>88</v>
      </c>
      <c r="C16" s="66">
        <f>C15</f>
        <v>110000</v>
      </c>
      <c r="D16" s="66">
        <f>C16+D15</f>
        <v>137500</v>
      </c>
      <c r="E16" s="66">
        <f t="shared" ref="E16:O16" si="4">D16+E15</f>
        <v>165000</v>
      </c>
      <c r="F16" s="66">
        <f t="shared" si="4"/>
        <v>192500</v>
      </c>
      <c r="G16" s="66">
        <f>F16+G15</f>
        <v>220000</v>
      </c>
      <c r="H16" s="66">
        <f>G16+H15</f>
        <v>302500</v>
      </c>
      <c r="I16" s="66">
        <f t="shared" si="4"/>
        <v>385000</v>
      </c>
      <c r="J16" s="66">
        <f t="shared" si="4"/>
        <v>660000</v>
      </c>
      <c r="K16" s="66">
        <f t="shared" si="4"/>
        <v>935000</v>
      </c>
      <c r="L16" s="66">
        <f t="shared" si="4"/>
        <v>1292500</v>
      </c>
      <c r="M16" s="66">
        <f t="shared" si="4"/>
        <v>1457500</v>
      </c>
      <c r="N16" s="66">
        <f t="shared" si="4"/>
        <v>1622500</v>
      </c>
      <c r="O16" s="66">
        <f t="shared" si="4"/>
        <v>1787500</v>
      </c>
      <c r="P16" s="67">
        <f>O16</f>
        <v>1787500</v>
      </c>
    </row>
  </sheetData>
  <mergeCells count="3">
    <mergeCell ref="B4:B5"/>
    <mergeCell ref="C4:C5"/>
    <mergeCell ref="D4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A30B-FEB6-064A-93B1-365E4C14D729}">
  <dimension ref="A2:P17"/>
  <sheetViews>
    <sheetView workbookViewId="0">
      <selection activeCell="G20" sqref="G20"/>
    </sheetView>
  </sheetViews>
  <sheetFormatPr defaultColWidth="7.81640625" defaultRowHeight="24" customHeight="1"/>
  <cols>
    <col min="1" max="1" width="2.453125" style="79" customWidth="1"/>
    <col min="2" max="2" width="4.26953125" style="79" customWidth="1"/>
    <col min="3" max="3" width="26.1796875" style="80" customWidth="1"/>
    <col min="4" max="4" width="11.54296875" style="80" customWidth="1"/>
    <col min="5" max="6" width="10.453125" style="80" customWidth="1"/>
    <col min="7" max="8" width="28.7265625" style="80" customWidth="1"/>
    <col min="9" max="9" width="17.81640625" style="80" customWidth="1"/>
    <col min="10" max="10" width="17.54296875" style="81" customWidth="1"/>
    <col min="11" max="11" width="10.7265625" style="81" customWidth="1"/>
    <col min="12" max="12" width="32.453125" style="80" customWidth="1"/>
    <col min="13" max="13" width="23.54296875" style="80" customWidth="1"/>
    <col min="14" max="14" width="9.81640625" style="80" customWidth="1"/>
    <col min="15" max="16" width="7.81640625" style="80"/>
    <col min="17" max="16384" width="7.81640625" style="79"/>
  </cols>
  <sheetData>
    <row r="2" spans="1:16" ht="24" customHeight="1">
      <c r="B2" s="191" t="str">
        <f>CONCATENATE("Risks and Issues Tracking for ",'2. Project Plan'!C5)</f>
        <v>Risks and Issues Tracking for Example Project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</row>
    <row r="3" spans="1:16" s="43" customFormat="1" ht="24" customHeight="1" thickBot="1"/>
    <row r="4" spans="1:16" s="71" customFormat="1" ht="24" customHeight="1">
      <c r="B4" s="120" t="s">
        <v>91</v>
      </c>
      <c r="C4" s="121" t="s">
        <v>92</v>
      </c>
      <c r="D4" s="121" t="s">
        <v>109</v>
      </c>
      <c r="E4" s="121" t="s">
        <v>93</v>
      </c>
      <c r="F4" s="121" t="s">
        <v>110</v>
      </c>
      <c r="G4" s="121" t="s">
        <v>94</v>
      </c>
      <c r="H4" s="121" t="s">
        <v>95</v>
      </c>
      <c r="I4" s="121" t="s">
        <v>96</v>
      </c>
      <c r="J4" s="122" t="s">
        <v>97</v>
      </c>
      <c r="K4" s="122" t="s">
        <v>54</v>
      </c>
      <c r="L4" s="123" t="s">
        <v>98</v>
      </c>
    </row>
    <row r="5" spans="1:16" ht="24" customHeight="1">
      <c r="B5" s="72" t="s">
        <v>61</v>
      </c>
      <c r="C5" s="73" t="s">
        <v>99</v>
      </c>
      <c r="D5" s="74" t="s">
        <v>100</v>
      </c>
      <c r="E5" s="74" t="s">
        <v>100</v>
      </c>
      <c r="F5" s="74" t="s">
        <v>101</v>
      </c>
      <c r="G5" s="73"/>
      <c r="H5" s="73"/>
      <c r="I5" s="74"/>
      <c r="J5" s="75"/>
      <c r="K5" s="75"/>
      <c r="L5" s="76"/>
      <c r="M5" s="82"/>
      <c r="N5" s="79"/>
      <c r="O5" s="79"/>
      <c r="P5" s="79"/>
    </row>
    <row r="6" spans="1:16" ht="24" customHeight="1">
      <c r="B6" s="72" t="s">
        <v>59</v>
      </c>
      <c r="C6" s="73" t="s">
        <v>102</v>
      </c>
      <c r="D6" s="74" t="s">
        <v>101</v>
      </c>
      <c r="E6" s="74" t="s">
        <v>103</v>
      </c>
      <c r="F6" s="74" t="s">
        <v>104</v>
      </c>
      <c r="G6" s="73"/>
      <c r="H6" s="73"/>
      <c r="I6" s="73"/>
      <c r="J6" s="75"/>
      <c r="K6" s="75" t="s">
        <v>105</v>
      </c>
      <c r="L6" s="76" t="s">
        <v>105</v>
      </c>
      <c r="N6" s="79"/>
      <c r="O6" s="79"/>
      <c r="P6" s="79"/>
    </row>
    <row r="7" spans="1:16" ht="24" customHeight="1">
      <c r="B7" s="72" t="s">
        <v>61</v>
      </c>
      <c r="C7" s="73" t="s">
        <v>106</v>
      </c>
      <c r="D7" s="74" t="s">
        <v>101</v>
      </c>
      <c r="E7" s="74" t="s">
        <v>101</v>
      </c>
      <c r="F7" s="74" t="s">
        <v>101</v>
      </c>
      <c r="G7" s="73"/>
      <c r="H7" s="73"/>
      <c r="I7" s="73"/>
      <c r="J7" s="75"/>
      <c r="K7" s="75" t="s">
        <v>105</v>
      </c>
      <c r="L7" s="76" t="s">
        <v>105</v>
      </c>
      <c r="N7" s="79"/>
      <c r="O7" s="79"/>
      <c r="P7" s="79"/>
    </row>
    <row r="8" spans="1:16" ht="24" customHeight="1">
      <c r="B8" s="72" t="s">
        <v>59</v>
      </c>
      <c r="C8" s="73" t="s">
        <v>107</v>
      </c>
      <c r="D8" s="74" t="s">
        <v>103</v>
      </c>
      <c r="E8" s="74" t="s">
        <v>100</v>
      </c>
      <c r="F8" s="74" t="s">
        <v>100</v>
      </c>
      <c r="G8" s="73"/>
      <c r="H8" s="73"/>
      <c r="I8" s="73"/>
      <c r="J8" s="83"/>
      <c r="K8" s="83"/>
      <c r="L8" s="76"/>
    </row>
    <row r="9" spans="1:16" ht="24" customHeight="1">
      <c r="B9" s="72" t="s">
        <v>61</v>
      </c>
      <c r="C9" s="73" t="s">
        <v>108</v>
      </c>
      <c r="D9" s="74" t="s">
        <v>103</v>
      </c>
      <c r="E9" s="74" t="s">
        <v>104</v>
      </c>
      <c r="F9" s="74" t="s">
        <v>101</v>
      </c>
      <c r="G9" s="73"/>
      <c r="H9" s="73"/>
      <c r="I9" s="73"/>
      <c r="J9" s="83"/>
      <c r="K9" s="83"/>
      <c r="L9" s="76"/>
    </row>
    <row r="10" spans="1:16" ht="24" customHeight="1">
      <c r="B10" s="72"/>
      <c r="C10" s="73"/>
      <c r="D10" s="74"/>
      <c r="E10" s="74"/>
      <c r="F10" s="74"/>
      <c r="G10" s="73"/>
      <c r="H10" s="73"/>
      <c r="I10" s="73"/>
      <c r="J10" s="83"/>
      <c r="K10" s="83"/>
      <c r="L10" s="76"/>
    </row>
    <row r="11" spans="1:16" ht="24" customHeight="1">
      <c r="B11" s="72"/>
      <c r="C11" s="73"/>
      <c r="D11" s="74"/>
      <c r="E11" s="74"/>
      <c r="F11" s="74"/>
      <c r="G11" s="73"/>
      <c r="H11" s="73"/>
      <c r="I11" s="73"/>
      <c r="J11" s="83"/>
      <c r="K11" s="83"/>
      <c r="L11" s="76"/>
    </row>
    <row r="12" spans="1:16" ht="24" customHeight="1">
      <c r="B12" s="72"/>
      <c r="C12" s="73"/>
      <c r="D12" s="74"/>
      <c r="E12" s="74"/>
      <c r="F12" s="74"/>
      <c r="G12" s="73"/>
      <c r="H12" s="73"/>
      <c r="I12" s="73"/>
      <c r="J12" s="83"/>
      <c r="K12" s="83"/>
      <c r="L12" s="76"/>
    </row>
    <row r="13" spans="1:16" ht="24" customHeight="1">
      <c r="B13" s="72"/>
      <c r="C13" s="73"/>
      <c r="D13" s="74"/>
      <c r="E13" s="74"/>
      <c r="F13" s="74"/>
      <c r="G13" s="73"/>
      <c r="H13" s="73"/>
      <c r="I13" s="73"/>
      <c r="J13" s="83"/>
      <c r="K13" s="83"/>
      <c r="L13" s="76"/>
    </row>
    <row r="14" spans="1:16" s="80" customFormat="1" ht="24" customHeight="1">
      <c r="A14" s="79"/>
      <c r="B14" s="72"/>
      <c r="C14" s="73"/>
      <c r="D14" s="74"/>
      <c r="E14" s="74"/>
      <c r="F14" s="74"/>
      <c r="G14" s="73"/>
      <c r="H14" s="73"/>
      <c r="I14" s="73"/>
      <c r="J14" s="83"/>
      <c r="K14" s="83"/>
      <c r="L14" s="76"/>
    </row>
    <row r="15" spans="1:16" s="80" customFormat="1" ht="24" customHeight="1">
      <c r="A15" s="79"/>
      <c r="B15" s="72"/>
      <c r="C15" s="73"/>
      <c r="D15" s="74"/>
      <c r="E15" s="74"/>
      <c r="F15" s="74"/>
      <c r="G15" s="73"/>
      <c r="H15" s="73"/>
      <c r="I15" s="73"/>
      <c r="J15" s="83"/>
      <c r="K15" s="83"/>
      <c r="L15" s="76"/>
    </row>
    <row r="16" spans="1:16" s="80" customFormat="1" ht="24" customHeight="1">
      <c r="A16" s="79"/>
      <c r="B16" s="72"/>
      <c r="C16" s="73"/>
      <c r="D16" s="74"/>
      <c r="E16" s="74"/>
      <c r="F16" s="74"/>
      <c r="G16" s="73"/>
      <c r="H16" s="73"/>
      <c r="I16" s="73"/>
      <c r="J16" s="83"/>
      <c r="K16" s="83"/>
      <c r="L16" s="76"/>
    </row>
    <row r="17" spans="1:12" s="80" customFormat="1" ht="24" customHeight="1" thickBot="1">
      <c r="A17" s="79"/>
      <c r="B17" s="77"/>
      <c r="C17" s="84"/>
      <c r="D17" s="78"/>
      <c r="E17" s="78"/>
      <c r="F17" s="78"/>
      <c r="G17" s="84"/>
      <c r="H17" s="84"/>
      <c r="I17" s="84"/>
      <c r="J17" s="85"/>
      <c r="K17" s="85"/>
      <c r="L17" s="86"/>
    </row>
  </sheetData>
  <mergeCells count="1">
    <mergeCell ref="B2:L2"/>
  </mergeCells>
  <dataValidations count="2">
    <dataValidation type="list" allowBlank="1" showInputMessage="1" showErrorMessage="1" sqref="H18:H1048576" xr:uid="{C032D509-0770-014D-8512-E0F85B0C7B0E}">
      <formula1>"Open, Closed, Cancelled, Hold"</formula1>
    </dataValidation>
    <dataValidation type="list" allowBlank="1" showInputMessage="1" showErrorMessage="1" sqref="B5:B17" xr:uid="{E4E5FEB2-2644-EA46-B14D-D5187C111AFC}">
      <formula1>"R, I"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3653-FA40-464E-9EB7-FE8EB8A5D1DB}">
  <dimension ref="A2:P17"/>
  <sheetViews>
    <sheetView workbookViewId="0">
      <selection activeCell="R15" sqref="R15"/>
    </sheetView>
  </sheetViews>
  <sheetFormatPr defaultColWidth="7.81640625" defaultRowHeight="24" customHeight="1"/>
  <cols>
    <col min="1" max="1" width="2.453125" style="79" customWidth="1"/>
    <col min="2" max="2" width="4.54296875" style="79" customWidth="1"/>
    <col min="3" max="3" width="42.81640625" style="80" customWidth="1"/>
    <col min="4" max="6" width="18.26953125" style="80" customWidth="1"/>
    <col min="7" max="16" width="6.1796875" style="80" customWidth="1"/>
    <col min="17" max="16384" width="7.81640625" style="79"/>
  </cols>
  <sheetData>
    <row r="2" spans="1:16" ht="24" customHeight="1">
      <c r="B2" s="191" t="str">
        <f>CONCATENATE("Risks and Issues Tracking for ",'2. Project Plan'!C5)</f>
        <v>Risks and Issues Tracking for Example Project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</row>
    <row r="3" spans="1:16" s="43" customFormat="1" ht="24" customHeight="1" thickBot="1"/>
    <row r="4" spans="1:16" s="71" customFormat="1" ht="24" customHeight="1">
      <c r="B4" s="192" t="s">
        <v>33</v>
      </c>
      <c r="C4" s="193"/>
      <c r="D4" s="121" t="s">
        <v>116</v>
      </c>
      <c r="E4" s="121" t="s">
        <v>117</v>
      </c>
      <c r="F4" s="123" t="s">
        <v>118</v>
      </c>
      <c r="G4" s="124" t="s">
        <v>119</v>
      </c>
      <c r="H4" s="121" t="s">
        <v>120</v>
      </c>
      <c r="I4" s="121" t="s">
        <v>121</v>
      </c>
      <c r="J4" s="121" t="s">
        <v>122</v>
      </c>
      <c r="K4" s="121" t="s">
        <v>123</v>
      </c>
      <c r="L4" s="121" t="s">
        <v>124</v>
      </c>
      <c r="M4" s="121" t="s">
        <v>125</v>
      </c>
      <c r="N4" s="121" t="s">
        <v>126</v>
      </c>
      <c r="O4" s="121" t="s">
        <v>127</v>
      </c>
      <c r="P4" s="123" t="s">
        <v>128</v>
      </c>
    </row>
    <row r="5" spans="1:16" ht="24" customHeight="1">
      <c r="B5" s="194" t="s">
        <v>113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6"/>
    </row>
    <row r="6" spans="1:16" ht="24" customHeight="1">
      <c r="B6" s="72">
        <v>1.1000000000000001</v>
      </c>
      <c r="C6" s="73" t="s">
        <v>33</v>
      </c>
      <c r="D6" s="74"/>
      <c r="E6" s="74"/>
      <c r="F6" s="76"/>
      <c r="G6" s="88"/>
      <c r="H6" s="88"/>
      <c r="I6" s="88"/>
      <c r="J6" s="74"/>
      <c r="K6" s="74"/>
      <c r="L6" s="74"/>
      <c r="M6" s="74"/>
      <c r="N6" s="74"/>
      <c r="O6" s="74"/>
      <c r="P6" s="87"/>
    </row>
    <row r="7" spans="1:16" ht="24" customHeight="1">
      <c r="B7" s="72">
        <v>1.2</v>
      </c>
      <c r="C7" s="73" t="s">
        <v>33</v>
      </c>
      <c r="D7" s="74"/>
      <c r="E7" s="74"/>
      <c r="F7" s="76"/>
      <c r="G7" s="74"/>
      <c r="H7" s="74"/>
      <c r="I7" s="88"/>
      <c r="J7" s="88"/>
      <c r="K7" s="88"/>
      <c r="L7" s="74"/>
      <c r="M7" s="74"/>
      <c r="N7" s="74"/>
      <c r="O7" s="74"/>
      <c r="P7" s="87"/>
    </row>
    <row r="8" spans="1:16" ht="24" customHeight="1">
      <c r="B8" s="72">
        <v>1.3</v>
      </c>
      <c r="C8" s="73" t="s">
        <v>33</v>
      </c>
      <c r="D8" s="74"/>
      <c r="E8" s="74"/>
      <c r="F8" s="76"/>
      <c r="G8" s="74"/>
      <c r="H8" s="74"/>
      <c r="I8" s="74"/>
      <c r="J8" s="88"/>
      <c r="K8" s="88"/>
      <c r="L8" s="74"/>
      <c r="M8" s="74"/>
      <c r="N8" s="74"/>
      <c r="O8" s="74"/>
      <c r="P8" s="87"/>
    </row>
    <row r="9" spans="1:16" ht="24" customHeight="1">
      <c r="B9" s="194" t="s">
        <v>114</v>
      </c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6"/>
    </row>
    <row r="10" spans="1:16" ht="24" customHeight="1">
      <c r="B10" s="72">
        <v>2.1</v>
      </c>
      <c r="C10" s="73" t="s">
        <v>33</v>
      </c>
      <c r="D10" s="74"/>
      <c r="E10" s="74"/>
      <c r="F10" s="76"/>
      <c r="G10" s="74"/>
      <c r="H10" s="74"/>
      <c r="I10" s="74"/>
      <c r="J10" s="74"/>
      <c r="K10" s="88"/>
      <c r="L10" s="88"/>
      <c r="M10" s="88"/>
      <c r="N10" s="74"/>
      <c r="O10" s="74"/>
      <c r="P10" s="87"/>
    </row>
    <row r="11" spans="1:16" ht="24" customHeight="1">
      <c r="B11" s="72">
        <v>2.2000000000000002</v>
      </c>
      <c r="C11" s="73" t="s">
        <v>33</v>
      </c>
      <c r="D11" s="74"/>
      <c r="E11" s="74"/>
      <c r="F11" s="76"/>
      <c r="G11" s="74"/>
      <c r="H11" s="74"/>
      <c r="I11" s="74"/>
      <c r="J11" s="74"/>
      <c r="K11" s="74"/>
      <c r="L11" s="88"/>
      <c r="M11" s="88"/>
      <c r="N11" s="74"/>
      <c r="O11" s="74"/>
      <c r="P11" s="87"/>
    </row>
    <row r="12" spans="1:16" ht="24" customHeight="1">
      <c r="B12" s="72">
        <v>2.2999999999999998</v>
      </c>
      <c r="C12" s="73" t="s">
        <v>33</v>
      </c>
      <c r="D12" s="74"/>
      <c r="E12" s="74"/>
      <c r="F12" s="76"/>
      <c r="G12" s="74"/>
      <c r="H12" s="74"/>
      <c r="I12" s="74"/>
      <c r="J12" s="74"/>
      <c r="K12" s="74"/>
      <c r="L12" s="74"/>
      <c r="M12" s="88"/>
      <c r="N12" s="88"/>
      <c r="O12" s="74"/>
      <c r="P12" s="87"/>
    </row>
    <row r="13" spans="1:16" ht="24" customHeight="1">
      <c r="B13" s="72">
        <v>2.4</v>
      </c>
      <c r="C13" s="73" t="s">
        <v>33</v>
      </c>
      <c r="D13" s="74"/>
      <c r="E13" s="74"/>
      <c r="F13" s="76"/>
      <c r="G13" s="74"/>
      <c r="H13" s="74"/>
      <c r="I13" s="74"/>
      <c r="J13" s="74"/>
      <c r="K13" s="74"/>
      <c r="L13" s="74"/>
      <c r="M13" s="74"/>
      <c r="N13" s="74"/>
      <c r="O13" s="74"/>
      <c r="P13" s="87"/>
    </row>
    <row r="14" spans="1:16" s="80" customFormat="1" ht="24" customHeight="1">
      <c r="A14" s="79"/>
      <c r="B14" s="194" t="s">
        <v>115</v>
      </c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6"/>
    </row>
    <row r="15" spans="1:16" s="80" customFormat="1" ht="24" customHeight="1">
      <c r="A15" s="79"/>
      <c r="B15" s="72">
        <v>3.1</v>
      </c>
      <c r="C15" s="73" t="s">
        <v>33</v>
      </c>
      <c r="D15" s="74"/>
      <c r="E15" s="74"/>
      <c r="F15" s="76"/>
      <c r="G15" s="74"/>
      <c r="H15" s="74"/>
      <c r="I15" s="74"/>
      <c r="J15" s="74"/>
      <c r="K15" s="74"/>
      <c r="L15" s="74"/>
      <c r="M15" s="74"/>
      <c r="N15" s="88"/>
      <c r="O15" s="88"/>
      <c r="P15" s="87"/>
    </row>
    <row r="16" spans="1:16" s="80" customFormat="1" ht="24" customHeight="1">
      <c r="A16" s="79"/>
      <c r="B16" s="72">
        <v>3.2</v>
      </c>
      <c r="C16" s="73" t="s">
        <v>33</v>
      </c>
      <c r="D16" s="74"/>
      <c r="E16" s="74"/>
      <c r="F16" s="76"/>
      <c r="G16" s="74"/>
      <c r="H16" s="74"/>
      <c r="I16" s="74"/>
      <c r="J16" s="74"/>
      <c r="K16" s="74"/>
      <c r="L16" s="74"/>
      <c r="M16" s="74"/>
      <c r="N16" s="88"/>
      <c r="O16" s="88"/>
      <c r="P16" s="90"/>
    </row>
    <row r="17" spans="1:16" s="80" customFormat="1" ht="24" customHeight="1" thickBot="1">
      <c r="A17" s="79"/>
      <c r="B17" s="77">
        <v>3.3</v>
      </c>
      <c r="C17" s="84" t="s">
        <v>33</v>
      </c>
      <c r="D17" s="78"/>
      <c r="E17" s="78"/>
      <c r="F17" s="86"/>
      <c r="G17" s="78"/>
      <c r="H17" s="78"/>
      <c r="I17" s="78"/>
      <c r="J17" s="78"/>
      <c r="K17" s="78"/>
      <c r="L17" s="78"/>
      <c r="M17" s="78"/>
      <c r="N17" s="78"/>
      <c r="O17" s="89"/>
      <c r="P17" s="91"/>
    </row>
  </sheetData>
  <mergeCells count="5">
    <mergeCell ref="B4:C4"/>
    <mergeCell ref="B2:P2"/>
    <mergeCell ref="B5:P5"/>
    <mergeCell ref="B9:P9"/>
    <mergeCell ref="B14:P14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0. Document Details</vt:lpstr>
      <vt:lpstr>1. Checklist</vt:lpstr>
      <vt:lpstr>2. Project Plan</vt:lpstr>
      <vt:lpstr>3. Change Requests</vt:lpstr>
      <vt:lpstr>4. Key Stakeholders</vt:lpstr>
      <vt:lpstr>5. Budget</vt:lpstr>
      <vt:lpstr>6. Risks &amp; Issues</vt:lpstr>
      <vt:lpstr>7. 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Jaibeer Singh</cp:lastModifiedBy>
  <dcterms:created xsi:type="dcterms:W3CDTF">2022-08-23T03:38:03Z</dcterms:created>
  <dcterms:modified xsi:type="dcterms:W3CDTF">2024-05-11T02:39:05Z</dcterms:modified>
</cp:coreProperties>
</file>